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cluded_studies" sheetId="2" state="visible" r:id="rId4"/>
    <sheet name="MMAT_consensus" sheetId="3" state="visible" r:id="rId5"/>
    <sheet name="Summary" sheetId="4" state="visible" r:id="rId6"/>
    <sheet name="Codebook" sheetId="5" state="visible" r:id="rId7"/>
  </sheets>
  <definedNames>
    <definedName function="false" hidden="true" localSheetId="4" name="_xlnm._FilterDatabase" vbProcedure="false">Codebook!$A$1:$B$12</definedName>
    <definedName function="false" hidden="true" localSheetId="1" name="_xlnm._FilterDatabase" vbProcedure="false">Included_studies!$A$1:$H$92</definedName>
    <definedName function="false" hidden="true" localSheetId="2" name="_xlnm._FilterDatabase" vbProcedure="false">MMAT_consensus!$A$1:$I$92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<sst xmlns="http://schemas.openxmlformats.org/spreadsheetml/2006/main" count="1375" uniqueCount="265">
  <si>
    <t xml:space="preserve">Extraction sheet: Human Dependence on Large Language Models: A Systematic Review and Taxonomy</t>
  </si>
  <si>
    <t xml:space="preserve">Authors: anonymized for double-anonymized peer review</t>
  </si>
  <si>
    <t xml:space="preserve">Sheet</t>
  </si>
  <si>
    <t xml:space="preserve">Contents</t>
  </si>
  <si>
    <t xml:space="preserve">Included_studies</t>
  </si>
  <si>
    <t xml:space="preserve">One row per included study (n = 91): source channel, domain, design, primary and secondary dimensions, principal finding or focus</t>
  </si>
  <si>
    <t xml:space="preserve">MMAT_consensus</t>
  </si>
  <si>
    <t xml:space="preserve">Consensus MMAT 2018 ratings (C1–C5) for each study; 'Met' is calculated with a formula</t>
  </si>
  <si>
    <t xml:space="preserve">Summary</t>
  </si>
  <si>
    <t xml:space="preserve">Counts by dimension, domain, design, source and MMAT score, calculated from the sheets above (these reproduce Table 3 of the article)</t>
  </si>
  <si>
    <t xml:space="preserve">Codebook</t>
  </si>
  <si>
    <t xml:space="preserve">Definition of every column and category</t>
  </si>
  <si>
    <t xml:space="preserve">Note</t>
  </si>
  <si>
    <t xml:space="preserve">Findings are reported as stated in each study's published abstract or record (see Section 3.5 of the article); they are not harmonised effect sizes.</t>
  </si>
  <si>
    <t xml:space="preserve">Licence</t>
  </si>
  <si>
    <t xml:space="preserve">CC BY 4.0</t>
  </si>
  <si>
    <t xml:space="preserve">ID</t>
  </si>
  <si>
    <t xml:space="preserve">Study</t>
  </si>
  <si>
    <t xml:space="preserve">Identified via</t>
  </si>
  <si>
    <t xml:space="preserve">Domain</t>
  </si>
  <si>
    <t xml:space="preserve">Design</t>
  </si>
  <si>
    <t xml:space="preserve">Primary dimension</t>
  </si>
  <si>
    <t xml:space="preserve">All dimensions (primary first)</t>
  </si>
  <si>
    <t xml:space="preserve">Principal finding or focus</t>
  </si>
  <si>
    <t xml:space="preserve">Anderson et al. (2024)</t>
  </si>
  <si>
    <t xml:space="preserve">Database searching</t>
  </si>
  <si>
    <t xml:space="preserve">General / online</t>
  </si>
  <si>
    <t xml:space="preserve">Experiment</t>
  </si>
  <si>
    <t xml:space="preserve">Cognitive</t>
  </si>
  <si>
    <t xml:space="preserve">Homogenization effects of LLM assistance on human creative ideation</t>
  </si>
  <si>
    <t xml:space="preserve">Doshi and Hauser (2024)</t>
  </si>
  <si>
    <t xml:space="preserve">Citation/update searching</t>
  </si>
  <si>
    <t xml:space="preserve">AI ideas raised individual story creativity but made stories more similar to each other</t>
  </si>
  <si>
    <t xml:space="preserve">Grande et al. (2024)</t>
  </si>
  <si>
    <t xml:space="preserve">Education</t>
  </si>
  <si>
    <t xml:space="preserve">Qualitative</t>
  </si>
  <si>
    <t xml:space="preserve">Student perspectives on using an LLM for a professional ethics assignment</t>
  </si>
  <si>
    <t xml:space="preserve">Krupp et al. (2024)</t>
  </si>
  <si>
    <t xml:space="preserve">Cognitive, Behavioral</t>
  </si>
  <si>
    <t xml:space="preserve">Moderated ChatGPT (hints, answer options) reduced unreflected copy-paste use among 40 students, but reflection stayed below internet search</t>
  </si>
  <si>
    <t xml:space="preserve">Stadler et al. (2024)</t>
  </si>
  <si>
    <t xml:space="preserve">LLM use reduced mental effort but lowered the depth of student reasoning in scientific inquiry</t>
  </si>
  <si>
    <t xml:space="preserve">Alghamdi (2025)</t>
  </si>
  <si>
    <t xml:space="preserve">Survey</t>
  </si>
  <si>
    <t xml:space="preserve">Self-efficacy and discipline shaped students’ perceptions of generative AI for critical thinking and creativity</t>
  </si>
  <si>
    <t xml:space="preserve">Bastani et al. (2025)</t>
  </si>
  <si>
    <t xml:space="preserve">Field experiment (approximately 1,000 students): GPT-4 raised practice grades (48% to 127%), but removing unguarded access reduced grades by 17%</t>
  </si>
  <si>
    <t xml:space="preserve">Brender et al. (2025)</t>
  </si>
  <si>
    <t xml:space="preserve">Effects of a structured ChatGPT interface in a graduate robotics course</t>
  </si>
  <si>
    <t xml:space="preserve">Cheng and Zhang (2025)</t>
  </si>
  <si>
    <t xml:space="preserve">LLMs acted as inspiration boosters or sources of creative fixation depending on task complexity</t>
  </si>
  <si>
    <t xml:space="preserve">Fan et al. (2025)</t>
  </si>
  <si>
    <t xml:space="preserve">Randomized experiment (N = 117): ChatGPT improved essay scores without greater knowledge gain or transfer</t>
  </si>
  <si>
    <t xml:space="preserve">Fitzek and Bârgăoanu (2025)</t>
  </si>
  <si>
    <t xml:space="preserve">Mixed methods</t>
  </si>
  <si>
    <t xml:space="preserve">Mixed-methods pilot introducing LLMs in communication and public relations education</t>
  </si>
  <si>
    <t xml:space="preserve">Gerlich (2025a)</t>
  </si>
  <si>
    <t xml:space="preserve">Mixed-methods study (N = 666): frequent AI tool use was negatively associated with critical thinking, mediated by cognitive offloading</t>
  </si>
  <si>
    <t xml:space="preserve">Gerlich (2025b)</t>
  </si>
  <si>
    <t xml:space="preserve">Experiment comparing structured prompting and unstructured use for critical reasoning with generative AI</t>
  </si>
  <si>
    <t xml:space="preserve">Hsu (2025)</t>
  </si>
  <si>
    <t xml:space="preserve">Quasi-experiment on ChatGPT-supported EFL learning mediated by entangled cognition</t>
  </si>
  <si>
    <t xml:space="preserve">Iqbal et al. (2025)</t>
  </si>
  <si>
    <t xml:space="preserve">Generative AI use, shared metacognition and cognitive offloading in relation to preservice teachers’ achievement</t>
  </si>
  <si>
    <t xml:space="preserve">Lee et al. (2025)</t>
  </si>
  <si>
    <t xml:space="preserve">Work</t>
  </si>
  <si>
    <t xml:space="preserve">Cognitive, Decision-making</t>
  </si>
  <si>
    <t xml:space="preserve">Survey of 319 knowledge workers (936 examples): higher confidence in GenAI associated with less critical thinking</t>
  </si>
  <si>
    <t xml:space="preserve">Li et al. (2025a)</t>
  </si>
  <si>
    <t xml:space="preserve">Two samples (n = 421; n = 1,030) supported an 18-item LLM Dependence Scale with functional and existential dependence factors</t>
  </si>
  <si>
    <t xml:space="preserve">Manakina and Muldner (2025)</t>
  </si>
  <si>
    <t xml:space="preserve">Prompts eliciting active and constructive engagement improved learning with both ChatGPT and traditional resources</t>
  </si>
  <si>
    <t xml:space="preserve">Murtaza et al. (2025)</t>
  </si>
  <si>
    <t xml:space="preserve">ChatGPT-based training yielded on average 11% higher correctness and lower workload than paper-based learning</t>
  </si>
  <si>
    <t xml:space="preserve">Nascimento et al. (2025)</t>
  </si>
  <si>
    <t xml:space="preserve">LLM-based scaffolding and academic performance, with AI literacy and prior knowledge as mediators</t>
  </si>
  <si>
    <t xml:space="preserve">Patac and Patac (2025)</t>
  </si>
  <si>
    <t xml:space="preserve">Students reported lower intrinsic and extraneous cognitive load when using ChatGPT</t>
  </si>
  <si>
    <t xml:space="preserve">Rico-Gutierrez (2025)</t>
  </si>
  <si>
    <t xml:space="preserve">Role-reversal activity in which students teach AI to solve physics problems to foster critical thinking</t>
  </si>
  <si>
    <t xml:space="preserve">Sqalli (2025)</t>
  </si>
  <si>
    <t xml:space="preserve">Eye-tracking of critical thinking during student-LLM coding interactions</t>
  </si>
  <si>
    <t xml:space="preserve">Sun et al. (2025)</t>
  </si>
  <si>
    <t xml:space="preserve">Field experiment on how and for whom generative AI use affects employee creativity</t>
  </si>
  <si>
    <t xml:space="preserve">Wang et al. (2025a)</t>
  </si>
  <si>
    <t xml:space="preserve">High performers in AI-assisted writing had higher prior knowledge, more diversified interaction sequences and higher-level processing</t>
  </si>
  <si>
    <t xml:space="preserve">Wang et al. (2025b)</t>
  </si>
  <si>
    <t xml:space="preserve">Individual differences and task complexity in young scholars’ cooperation with LLMs</t>
  </si>
  <si>
    <t xml:space="preserve">Yang et al. (2025)</t>
  </si>
  <si>
    <t xml:space="preserve">Quasi-experiment on ChatGPT assistance in high school programming learning</t>
  </si>
  <si>
    <t xml:space="preserve">Yao et al. (2025)</t>
  </si>
  <si>
    <t xml:space="preserve">Cognitive, Emotional</t>
  </si>
  <si>
    <t xml:space="preserve">Double-edged effect of LLM dependence on researchers’ creativity</t>
  </si>
  <si>
    <t xml:space="preserve">Zheng et al. (2025b)</t>
  </si>
  <si>
    <t xml:space="preserve">Cognitive, affective and behavioural analysis of student trust in and dependence on generative AI</t>
  </si>
  <si>
    <t xml:space="preserve">Hao et al. (2026)</t>
  </si>
  <si>
    <t xml:space="preserve">AI-enhanced task-based learning, higher-order thinking and academic writing self-efficacy among EFL postgraduates</t>
  </si>
  <si>
    <t xml:space="preserve">Juan et al. (2026)</t>
  </si>
  <si>
    <t xml:space="preserve">Scaffolded human–GenAI shared agency, social interactivity and learning outcomes</t>
  </si>
  <si>
    <t xml:space="preserve">Lim et al. (2026)</t>
  </si>
  <si>
    <t xml:space="preserve">Electrodermal activity of students learning from LLMs versus curated texts</t>
  </si>
  <si>
    <t xml:space="preserve">Nylund et al. (2026)</t>
  </si>
  <si>
    <t xml:space="preserve">Qualitative questionnaire (N = 223): productivity and offloading benefits alongside self-doubt, guilt and diminished skill confidence</t>
  </si>
  <si>
    <t xml:space="preserve">Vyas et al. (2026)</t>
  </si>
  <si>
    <t xml:space="preserve">Effects of contextual fidelity on thinking, communication and action in AIassisted engineering design</t>
  </si>
  <si>
    <t xml:space="preserve">Zhu et al. (2026)</t>
  </si>
  <si>
    <t xml:space="preserve">Longitudinal</t>
  </si>
  <si>
    <t xml:space="preserve">Three-wave study (N = 589): dependent offloading, unlike autonomous offloading, predicted agency transfer and lower motivation</t>
  </si>
  <si>
    <t xml:space="preserve">Noy and Zhang (2023)</t>
  </si>
  <si>
    <t xml:space="preserve">Behavioral</t>
  </si>
  <si>
    <t xml:space="preserve">Preregistered experiment (N = 453): time taken fell by 40% and output quality rose by 18%</t>
  </si>
  <si>
    <t xml:space="preserve">Yong and Mitchell (2023)</t>
  </si>
  <si>
    <t xml:space="preserve">Repeat play of an LLM-based interactive story shifted from playing the story to gaming the system</t>
  </si>
  <si>
    <t xml:space="preserve">Grotlüschen et al. (2024)</t>
  </si>
  <si>
    <t xml:space="preserve">Behavioral, Cognitive</t>
  </si>
  <si>
    <t xml:space="preserve">Ad hoc survey on writing with AI and implications for critical literacy</t>
  </si>
  <si>
    <t xml:space="preserve">Ju and Stewart (2024)</t>
  </si>
  <si>
    <t xml:space="preserve">Everyday information needs, uses and gratifications of ChatGPT users</t>
  </si>
  <si>
    <t xml:space="preserve">Jyothy et al. (2024)</t>
  </si>
  <si>
    <t xml:space="preserve">Fogg Behavior Model analysis of LLM use for learning, teaching and research</t>
  </si>
  <si>
    <t xml:space="preserve">Korpimies et al. (2024)</t>
  </si>
  <si>
    <t xml:space="preserve">Unrestricted LLM use in a software project course: student perceptions and course performance</t>
  </si>
  <si>
    <t xml:space="preserve">Wang (2024)</t>
  </si>
  <si>
    <t xml:space="preserve">Motivation and UTAUT constructs in EFL learners’ acceptance of LLMs for academic writing</t>
  </si>
  <si>
    <t xml:space="preserve">Wang and Reynolds (2024)</t>
  </si>
  <si>
    <t xml:space="preserve">Factors shaping Chinese learners’ engagement with LLMs for vocabulary learning</t>
  </si>
  <si>
    <t xml:space="preserve">Zhang et al. (2024a)</t>
  </si>
  <si>
    <t xml:space="preserve">Behavioral, Emotional</t>
  </si>
  <si>
    <t xml:space="preserve">Interviews with 14 students: efficiency valued alongside a crisis of trust and ethical concern</t>
  </si>
  <si>
    <t xml:space="preserve">Zhang et al. (2024b)</t>
  </si>
  <si>
    <t xml:space="preserve">Survey of 300 students: academic stress and performance expectations mediated self-efficacy and AI dependency</t>
  </si>
  <si>
    <t xml:space="preserve">Brynjolfsson et al. (2025)</t>
  </si>
  <si>
    <t xml:space="preserve">Staggered deployment to 5,172 agents raised issues resolved per hour by 15% on average</t>
  </si>
  <si>
    <t xml:space="preserve">Deng and Deng (2025)</t>
  </si>
  <si>
    <t xml:space="preserve">Three cross-sectional surveys on antecedents and cognitive consequences of addictive ChatGPT use</t>
  </si>
  <si>
    <t xml:space="preserve">Dvorak et al. (2025)</t>
  </si>
  <si>
    <t xml:space="preserve">Behavioral, Decision-making</t>
  </si>
  <si>
    <t xml:space="preserve">Preregistered experiment (n = 3,552): fairness, trust and cooperation declined when ChatGPT made the partner’s decision</t>
  </si>
  <si>
    <t xml:space="preserve">Elshaer and Azazz (2025)</t>
  </si>
  <si>
    <t xml:space="preserve">LLM addiction and university students’ mental health, with gender as moderator</t>
  </si>
  <si>
    <t xml:space="preserve">de Jesus and Nunes (2025)</t>
  </si>
  <si>
    <t xml:space="preserve">Search behaviour of Tetun-speaking users with LLM-based conversational search</t>
  </si>
  <si>
    <t xml:space="preserve">Khendek et al. (2025)</t>
  </si>
  <si>
    <t xml:space="preserve">Data science students’ engagement, usage patterns and perceptions of LLMs in programming</t>
  </si>
  <si>
    <t xml:space="preserve">Kobiella et al. (2025)</t>
  </si>
  <si>
    <t xml:space="preserve">Long-term integration of LLMs in knowledge work: efficiency gains alongside questions of fulfilment</t>
  </si>
  <si>
    <t xml:space="preserve">Li et al. (2025b)</t>
  </si>
  <si>
    <t xml:space="preserve">Survey of engineering students from 12 universities on LLM tool use</t>
  </si>
  <si>
    <t xml:space="preserve">Liu et al. (2025a)</t>
  </si>
  <si>
    <t xml:space="preserve">Student engagement patterns with LLM-powered course assistants</t>
  </si>
  <si>
    <t xml:space="preserve">Liu et al. (2025b)</t>
  </si>
  <si>
    <t xml:space="preserve">LLM use altered, rather than replaced, dictionary consultation among Chinese learners of English</t>
  </si>
  <si>
    <t xml:space="preserve">Rücker et al. (2025)</t>
  </si>
  <si>
    <t xml:space="preserve">Risk perception in relation to acceptance and use of LLMs among university students</t>
  </si>
  <si>
    <t xml:space="preserve">Schneider (2025)</t>
  </si>
  <si>
    <t xml:space="preserve">Shifts in users’ mental models during human-LLM interaction</t>
  </si>
  <si>
    <t xml:space="preserve">Angrisani et al. (2026)</t>
  </si>
  <si>
    <t xml:space="preserve">Nationally representative longitudinal survey of LLM awareness, use and perceptions in the United States</t>
  </si>
  <si>
    <t xml:space="preserve">Pataranutaporn et al. (2023)</t>
  </si>
  <si>
    <t xml:space="preserve">Mental health</t>
  </si>
  <si>
    <t xml:space="preserve">Decision-making</t>
  </si>
  <si>
    <t xml:space="preserve">Decision-making, Emotional</t>
  </si>
  <si>
    <t xml:space="preserve">Priming beliefs about an AI agent changed perceived trustworthiness, empathy and effectiveness</t>
  </si>
  <si>
    <t xml:space="preserve">Bo et al. (2024)</t>
  </si>
  <si>
    <t xml:space="preserve">Transparency disclosures and reliability disclaimers in learner-LLM interaction</t>
  </si>
  <si>
    <t xml:space="preserve">Buchanan and Hickman (2024)</t>
  </si>
  <si>
    <t xml:space="preserve">Trust in human versus ChatGPT statements depended on source awareness; informed participants fact-checked more</t>
  </si>
  <si>
    <t xml:space="preserve">Costello et al. (2024)</t>
  </si>
  <si>
    <t xml:space="preserve">Dialogues with GPT-4 Turbo (N = 2,190) reduced conspiracy belief by about 20%, persisting for 2 months</t>
  </si>
  <si>
    <t xml:space="preserve">Goh et al. (2024)</t>
  </si>
  <si>
    <t xml:space="preserve">Health care</t>
  </si>
  <si>
    <t xml:space="preserve">Randomized trial (50 physicians): LLM access did not significantly improve diagnostic reasoning</t>
  </si>
  <si>
    <t xml:space="preserve">Kim et al. (2024)</t>
  </si>
  <si>
    <t xml:space="preserve">Preregistered experiment (N = 404): first-person uncertainty expressions reduced overreliance and increased accuracy</t>
  </si>
  <si>
    <t xml:space="preserve">Mirzaei et al. (2024)</t>
  </si>
  <si>
    <t xml:space="preserve">Thematic analysis of clinicians’ ethical concerns about LLM integration in health care</t>
  </si>
  <si>
    <t xml:space="preserve">Si et al. (2024)</t>
  </si>
  <si>
    <t xml:space="preserve">LLM explanations made fact-checking efficient, but users overrelied on convincingly wrong explanations</t>
  </si>
  <si>
    <t xml:space="preserve">Wilczyński et al. (2024)</t>
  </si>
  <si>
    <t xml:space="preserve">Factors associated with resistance to manipulative AI</t>
  </si>
  <si>
    <t xml:space="preserve">Chen et al. (2025)</t>
  </si>
  <si>
    <t xml:space="preserve">LLM-assisted peer reviewing with ChatGPT as a case study</t>
  </si>
  <si>
    <t xml:space="preserve">Kim et al. (2025)</t>
  </si>
  <si>
    <t xml:space="preserve">Explanations, sources and inconsistencies as levers for appropriate reliance on LLM answers</t>
  </si>
  <si>
    <t xml:space="preserve">Martell et al. (2025)</t>
  </si>
  <si>
    <t xml:space="preserve">Strategies for recovering trust after LLM trust violations</t>
  </si>
  <si>
    <t xml:space="preserve">Petzel and Sowerby (2025)</t>
  </si>
  <si>
    <t xml:space="preserve">Three preregistered experiments: AI-generated prejudice lowered perceived trustworthiness among stigmatized groups</t>
  </si>
  <si>
    <t xml:space="preserve">Pir Muhammad et al. (2025)</t>
  </si>
  <si>
    <t xml:space="preserve">Influence of LLM-generated prioritizations on human decisions in requirements engineering</t>
  </si>
  <si>
    <t xml:space="preserve">Salvi et al. (2025)</t>
  </si>
  <si>
    <t xml:space="preserve">Personalized GPT-4 was more persuasive than humans in 64.4% of non-tied debate pairs</t>
  </si>
  <si>
    <t xml:space="preserve">Spatharioti et al. (2025)</t>
  </si>
  <si>
    <t xml:space="preserve">Two experiments: LLM search was faster but users overrelied on incorrect answers; colour-coded highlighting improved accuracy</t>
  </si>
  <si>
    <t xml:space="preserve">Steyvers et al. (2025)</t>
  </si>
  <si>
    <t xml:space="preserve">Users overestimated LLM accuracy; longer explanations raised confidence without improving accuracy</t>
  </si>
  <si>
    <t xml:space="preserve">Chaudhry and Choudhury (2026)</t>
  </si>
  <si>
    <t xml:space="preserve">Decision-making, Behavioral</t>
  </si>
  <si>
    <t xml:space="preserve">Mixed-methods study of US occupational medicine clinicians’ perceptions and practices with LLMs</t>
  </si>
  <si>
    <t xml:space="preserve">Cheng et al. (2026)</t>
  </si>
  <si>
    <t xml:space="preserve">Three preregistered experiments (N = 2,405): sycophantic AI reduced willingness to repair conflict yet was preferred and trusted</t>
  </si>
  <si>
    <t xml:space="preserve">Liu et al. (2026)</t>
  </si>
  <si>
    <t xml:space="preserve">Interaction logs (N = 77): copy-paste, skipped comprehension and repeated LLM referencing marked overreliance</t>
  </si>
  <si>
    <t xml:space="preserve">Qazi et al. (2026)</t>
  </si>
  <si>
    <t xml:space="preserve">Randomized trial with AI-literacy-trained physicians: flawed LLM advice degraded diagnostic accuracy</t>
  </si>
  <si>
    <t xml:space="preserve">Su et al. (2026)</t>
  </si>
  <si>
    <t xml:space="preserve">LLM integration in human-robot collaboration: performance, mental stress and trust</t>
  </si>
  <si>
    <t xml:space="preserve">Ma et al. (2023)</t>
  </si>
  <si>
    <t xml:space="preserve">Emotional</t>
  </si>
  <si>
    <t xml:space="preserve">Benefits and challenges of LLM-based conversational agents for mental wellbeing support</t>
  </si>
  <si>
    <t xml:space="preserve">Laestadius et al. (2024)</t>
  </si>
  <si>
    <t xml:space="preserve">Grounded theory of 582 Reddit posts: emotional dependence on Replika resembled human relationship patterns</t>
  </si>
  <si>
    <t xml:space="preserve">Folk et al. (2025)</t>
  </si>
  <si>
    <t xml:space="preserve">Cultural variation in attitudes toward social chatbots</t>
  </si>
  <si>
    <t xml:space="preserve">Li et al. (2025c)</t>
  </si>
  <si>
    <t xml:space="preserve">User experience of customizable LLM-driven chatbots for depression care</t>
  </si>
  <si>
    <t xml:space="preserve">Song et al. (2025)</t>
  </si>
  <si>
    <t xml:space="preserve">Interviews with 21 users of LLM chatbots for mental health support; proposes therapeutic alignment</t>
  </si>
  <si>
    <t xml:space="preserve">Xu et al. (2025)</t>
  </si>
  <si>
    <t xml:space="preserve">Diary study describing a digital therapeutic alliance with mental health chatbots</t>
  </si>
  <si>
    <t xml:space="preserve">Yao and Xi (2025)</t>
  </si>
  <si>
    <t xml:space="preserve">Anthropomorphism, humanness perception and AI anxiety in LLM chatbots</t>
  </si>
  <si>
    <t xml:space="preserve">Yu and Lan (2025)</t>
  </si>
  <si>
    <t xml:space="preserve">Emotional, Behavioral</t>
  </si>
  <si>
    <t xml:space="preserve">Survey of 149 users and 10 interviews: anthropomorphism was positively associated with media dependency, mediated by satisfaction</t>
  </si>
  <si>
    <t xml:space="preserve">Zheng et al. (2025a)</t>
  </si>
  <si>
    <t xml:space="preserve">Week-long field study (N = 22): users built chatbot personas for emotional reliance and confronting stressors</t>
  </si>
  <si>
    <t xml:space="preserve">Folk and Dunn (2026)</t>
  </si>
  <si>
    <t xml:space="preserve">12-month panel (more than 2,000 adults): social chatbot use predicted later increases in loneliness</t>
  </si>
  <si>
    <t xml:space="preserve">De Freitas et al. (2026)</t>
  </si>
  <si>
    <t xml:space="preserve">Five studies: AI companions reduced loneliness, driven by feeling heard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</si>
  <si>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</si>
  <si>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</si>
  <si>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</si>
  <si>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</si>
  <si>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</si>
  <si>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Met (of 5)</t>
  </si>
  <si>
    <t xml:space="preserve">Y</t>
  </si>
  <si>
    <t xml:space="preserve">CT</t>
  </si>
  <si>
    <t xml:space="preserve">Category</t>
  </si>
  <si>
    <t xml:space="preserve">Level</t>
  </si>
  <si>
    <t xml:space="preserve">n</t>
  </si>
  <si>
    <t xml:space="preserve">%</t>
  </si>
  <si>
    <t xml:space="preserve">MMAT criteria met</t>
  </si>
  <si>
    <t xml:space="preserve">5 of 5</t>
  </si>
  <si>
    <t xml:space="preserve">4 of 5</t>
  </si>
  <si>
    <t xml:space="preserve">3 of 5</t>
  </si>
  <si>
    <t xml:space="preserve">Total</t>
  </si>
  <si>
    <t xml:space="preserve">All studies</t>
  </si>
  <si>
    <t xml:space="preserve">Column</t>
  </si>
  <si>
    <t xml:space="preserve">Definition</t>
  </si>
  <si>
    <t xml:space="preserve">Study number, in the order of Table 7 / Table S4</t>
  </si>
  <si>
    <t xml:space="preserve">First author(s) and year; letters a/b/c distinguish same-author same-year papers as in the reference list</t>
  </si>
  <si>
    <t xml:space="preserve">'Database searching' (n = 72) or 'Citation/update searching' (n = 19)</t>
  </si>
  <si>
    <t xml:space="preserve">Education; Work (work and professional practice); Health care (clinical practice); Mental health (mental health and companionship); General / online (general population and online experiments)</t>
  </si>
  <si>
    <t xml:space="preserve">Experiment = controlled experiment (randomized, field or quasi-experimental); Survey = cross-sectional survey or psychometric study; Qualitative; Mixed methods; Longitudinal = longitudinal or field-log study</t>
  </si>
  <si>
    <t xml:space="preserve">Main dependence dimension examined: Cognitive (epistemic operations), Behavioral (habit and execution), Decision-making (evaluative agency), Emotional (affective needs); see Table 4 of the article</t>
  </si>
  <si>
    <t xml:space="preserve">All dimensions</t>
  </si>
  <si>
    <t xml:space="preserve">Primary dimension first, followed by any secondary dimensions</t>
  </si>
  <si>
    <t xml:space="preserve">Main result as stated in the published abstract or record; where no result could be verified at that level, the focus of the study</t>
  </si>
  <si>
    <t xml:space="preserve">C1–C5</t>
  </si>
  <si>
    <t xml:space="preserve">MMAT 2018 category-specific criteria for the study's design category (qualitative 1.1–1.5; randomized/experimental 2.1–2.5; non-randomized 3.1–3.5; quantitative descriptive 4.1–4.5; mixed methods 5.1–5.5). Y = Yes; N = No; CT = Can't tell</t>
  </si>
  <si>
    <t xml:space="preserve">Number of the five criteria rated Y</t>
  </si>
  <si>
    <t xml:space="preserve">S1, S2</t>
  </si>
  <si>
    <t xml:space="preserve">MMAT screening questions; all 91 studies were rated Yes on both, so they are not listed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</si>
</sst>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0</v>
      </c>
    </row>
    <row r="2" customFormat="false" ht="34.5" hidden="false" customHeight="true" outlineLevel="0" collapsed="false">
      <c r="A2" s="3" t="s">
        <v>1</v>
      </c>
      <c r="B2" s="3"/>
    </row>
    <row r="3" customFormat="false" ht="15" hidden="false" customHeight="true" outlineLevel="0" collapsed="false">
      <c r="A3" s="3"/>
      <c r="B3" s="3"/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3" t="s">
        <v>4</v>
      </c>
      <c r="B5" s="3" t="s">
        <v>5</v>
      </c>
    </row>
    <row r="6" customFormat="false" ht="15" hidden="false" customHeight="true" outlineLevel="0" collapsed="false">
      <c r="A6" s="3" t="s">
        <v>6</v>
      </c>
      <c r="B6" s="3" t="s">
        <v>7</v>
      </c>
    </row>
    <row r="7" customFormat="false" ht="23.25" hidden="false" customHeight="true" outlineLevel="0" collapsed="false">
      <c r="A7" s="3" t="s">
        <v>8</v>
      </c>
      <c r="B7" s="3" t="s">
        <v>9</v>
      </c>
    </row>
    <row r="8" customFormat="false" ht="15" hidden="false" customHeight="true" outlineLevel="0" collapsed="false">
      <c r="A8" s="3" t="s">
        <v>10</v>
      </c>
      <c r="B8" s="3" t="s">
        <v>11</v>
      </c>
    </row>
    <row r="9" customFormat="false" ht="15" hidden="false" customHeight="true" outlineLevel="0" collapsed="false">
      <c r="A9" s="3"/>
      <c r="B9" s="3"/>
    </row>
    <row r="10" customFormat="false" ht="23.25" hidden="false" customHeight="true" outlineLevel="0" collapsed="false">
      <c r="A10" s="4" t="s">
        <v>12</v>
      </c>
      <c r="B10" s="3" t="s">
        <v>13</v>
      </c>
    </row>
    <row r="11" customFormat="false" ht="15" hidden="false" customHeight="true" outlineLevel="0" collapsed="false">
      <c r="A11" s="4" t="s">
        <v>14</v>
      </c>
      <c r="B1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26"/>
    <col collapsed="false" customWidth="true" hidden="false" outlineLevel="0" max="8" min="8" style="1" width="90"/>
  </cols>
  <sheetData>
    <row r="1" customFormat="false" ht="23.25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</row>
    <row r="2" customFormat="false" ht="15" hidden="false" customHeight="true" outlineLevel="0" collapsed="false">
      <c r="A2" s="6" t="n">
        <v>1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28</v>
      </c>
      <c r="H2" s="6" t="s">
        <v>29</v>
      </c>
    </row>
    <row r="3" customFormat="false" ht="15" hidden="false" customHeight="true" outlineLevel="0" collapsed="false">
      <c r="A3" s="6" t="n">
        <v>2</v>
      </c>
      <c r="B3" s="6" t="s">
        <v>30</v>
      </c>
      <c r="C3" s="6" t="s">
        <v>31</v>
      </c>
      <c r="D3" s="6" t="s">
        <v>26</v>
      </c>
      <c r="E3" s="6" t="s">
        <v>27</v>
      </c>
      <c r="F3" s="6" t="s">
        <v>28</v>
      </c>
      <c r="G3" s="6" t="s">
        <v>28</v>
      </c>
      <c r="H3" s="6" t="s">
        <v>32</v>
      </c>
    </row>
    <row r="4" customFormat="false" ht="15" hidden="false" customHeight="true" outlineLevel="0" collapsed="false">
      <c r="A4" s="6" t="n">
        <v>3</v>
      </c>
      <c r="B4" s="6" t="s">
        <v>33</v>
      </c>
      <c r="C4" s="6" t="s">
        <v>25</v>
      </c>
      <c r="D4" s="6" t="s">
        <v>34</v>
      </c>
      <c r="E4" s="6" t="s">
        <v>35</v>
      </c>
      <c r="F4" s="6" t="s">
        <v>28</v>
      </c>
      <c r="G4" s="6" t="s">
        <v>28</v>
      </c>
      <c r="H4" s="6" t="s">
        <v>36</v>
      </c>
    </row>
    <row r="5" customFormat="false" ht="23.25" hidden="false" customHeight="true" outlineLevel="0" collapsed="false">
      <c r="A5" s="6" t="n">
        <v>4</v>
      </c>
      <c r="B5" s="6" t="s">
        <v>37</v>
      </c>
      <c r="C5" s="6" t="s">
        <v>25</v>
      </c>
      <c r="D5" s="6" t="s">
        <v>34</v>
      </c>
      <c r="E5" s="6" t="s">
        <v>27</v>
      </c>
      <c r="F5" s="6" t="s">
        <v>28</v>
      </c>
      <c r="G5" s="6" t="s">
        <v>38</v>
      </c>
      <c r="H5" s="6" t="s">
        <v>39</v>
      </c>
    </row>
    <row r="6" customFormat="false" ht="15" hidden="false" customHeight="true" outlineLevel="0" collapsed="false">
      <c r="A6" s="6" t="n">
        <v>5</v>
      </c>
      <c r="B6" s="6" t="s">
        <v>40</v>
      </c>
      <c r="C6" s="6" t="s">
        <v>25</v>
      </c>
      <c r="D6" s="6" t="s">
        <v>34</v>
      </c>
      <c r="E6" s="6" t="s">
        <v>27</v>
      </c>
      <c r="F6" s="6" t="s">
        <v>28</v>
      </c>
      <c r="G6" s="6" t="s">
        <v>28</v>
      </c>
      <c r="H6" s="6" t="s">
        <v>41</v>
      </c>
    </row>
    <row r="7" customFormat="false" ht="15" hidden="false" customHeight="true" outlineLevel="0" collapsed="false">
      <c r="A7" s="6" t="n">
        <v>6</v>
      </c>
      <c r="B7" s="6" t="s">
        <v>42</v>
      </c>
      <c r="C7" s="6" t="s">
        <v>25</v>
      </c>
      <c r="D7" s="6" t="s">
        <v>34</v>
      </c>
      <c r="E7" s="6" t="s">
        <v>43</v>
      </c>
      <c r="F7" s="6" t="s">
        <v>28</v>
      </c>
      <c r="G7" s="6" t="s">
        <v>28</v>
      </c>
      <c r="H7" s="6" t="s">
        <v>44</v>
      </c>
    </row>
    <row r="8" customFormat="false" ht="23.25" hidden="false" customHeight="true" outlineLevel="0" collapsed="false">
      <c r="A8" s="6" t="n">
        <v>7</v>
      </c>
      <c r="B8" s="6" t="s">
        <v>45</v>
      </c>
      <c r="C8" s="6" t="s">
        <v>31</v>
      </c>
      <c r="D8" s="6" t="s">
        <v>34</v>
      </c>
      <c r="E8" s="6" t="s">
        <v>27</v>
      </c>
      <c r="F8" s="6" t="s">
        <v>28</v>
      </c>
      <c r="G8" s="6" t="s">
        <v>38</v>
      </c>
      <c r="H8" s="6" t="s">
        <v>46</v>
      </c>
    </row>
    <row r="9" customFormat="false" ht="15" hidden="false" customHeight="true" outlineLevel="0" collapsed="false">
      <c r="A9" s="6" t="n">
        <v>8</v>
      </c>
      <c r="B9" s="6" t="s">
        <v>47</v>
      </c>
      <c r="C9" s="6" t="s">
        <v>25</v>
      </c>
      <c r="D9" s="6" t="s">
        <v>34</v>
      </c>
      <c r="E9" s="6" t="s">
        <v>27</v>
      </c>
      <c r="F9" s="6" t="s">
        <v>28</v>
      </c>
      <c r="G9" s="6" t="s">
        <v>38</v>
      </c>
      <c r="H9" s="6" t="s">
        <v>48</v>
      </c>
    </row>
    <row r="10" customFormat="false" ht="15" hidden="false" customHeight="true" outlineLevel="0" collapsed="false">
      <c r="A10" s="6" t="n">
        <v>9</v>
      </c>
      <c r="B10" s="6" t="s">
        <v>49</v>
      </c>
      <c r="C10" s="6" t="s">
        <v>25</v>
      </c>
      <c r="D10" s="6" t="s">
        <v>26</v>
      </c>
      <c r="E10" s="6" t="s">
        <v>27</v>
      </c>
      <c r="F10" s="6" t="s">
        <v>28</v>
      </c>
      <c r="G10" s="6" t="s">
        <v>28</v>
      </c>
      <c r="H10" s="6" t="s">
        <v>50</v>
      </c>
    </row>
    <row r="11" customFormat="false" ht="23.25" hidden="false" customHeight="true" outlineLevel="0" collapsed="false">
      <c r="A11" s="6" t="n">
        <v>10</v>
      </c>
      <c r="B11" s="6" t="s">
        <v>51</v>
      </c>
      <c r="C11" s="6" t="s">
        <v>31</v>
      </c>
      <c r="D11" s="6" t="s">
        <v>34</v>
      </c>
      <c r="E11" s="6" t="s">
        <v>27</v>
      </c>
      <c r="F11" s="6" t="s">
        <v>28</v>
      </c>
      <c r="G11" s="6" t="s">
        <v>28</v>
      </c>
      <c r="H11" s="6" t="s">
        <v>52</v>
      </c>
    </row>
    <row r="12" customFormat="false" ht="15" hidden="false" customHeight="true" outlineLevel="0" collapsed="false">
      <c r="A12" s="6" t="n">
        <v>11</v>
      </c>
      <c r="B12" s="6" t="s">
        <v>53</v>
      </c>
      <c r="C12" s="6" t="s">
        <v>25</v>
      </c>
      <c r="D12" s="6" t="s">
        <v>34</v>
      </c>
      <c r="E12" s="6" t="s">
        <v>54</v>
      </c>
      <c r="F12" s="6" t="s">
        <v>28</v>
      </c>
      <c r="G12" s="6" t="s">
        <v>28</v>
      </c>
      <c r="H12" s="6" t="s">
        <v>55</v>
      </c>
    </row>
    <row r="13" customFormat="false" ht="23.25" hidden="false" customHeight="true" outlineLevel="0" collapsed="false">
      <c r="A13" s="6" t="n">
        <v>12</v>
      </c>
      <c r="B13" s="6" t="s">
        <v>56</v>
      </c>
      <c r="C13" s="6" t="s">
        <v>25</v>
      </c>
      <c r="D13" s="6" t="s">
        <v>26</v>
      </c>
      <c r="E13" s="6" t="s">
        <v>54</v>
      </c>
      <c r="F13" s="6" t="s">
        <v>28</v>
      </c>
      <c r="G13" s="6" t="s">
        <v>28</v>
      </c>
      <c r="H13" s="6" t="s">
        <v>57</v>
      </c>
    </row>
    <row r="14" customFormat="false" ht="15" hidden="false" customHeight="true" outlineLevel="0" collapsed="false">
      <c r="A14" s="6" t="n">
        <v>13</v>
      </c>
      <c r="B14" s="6" t="s">
        <v>58</v>
      </c>
      <c r="C14" s="6" t="s">
        <v>25</v>
      </c>
      <c r="D14" s="6" t="s">
        <v>26</v>
      </c>
      <c r="E14" s="6" t="s">
        <v>27</v>
      </c>
      <c r="F14" s="6" t="s">
        <v>28</v>
      </c>
      <c r="G14" s="6" t="s">
        <v>28</v>
      </c>
      <c r="H14" s="6" t="s">
        <v>59</v>
      </c>
    </row>
    <row r="15" customFormat="false" ht="15" hidden="false" customHeight="true" outlineLevel="0" collapsed="false">
      <c r="A15" s="6" t="n">
        <v>14</v>
      </c>
      <c r="B15" s="6" t="s">
        <v>60</v>
      </c>
      <c r="C15" s="6" t="s">
        <v>25</v>
      </c>
      <c r="D15" s="6" t="s">
        <v>34</v>
      </c>
      <c r="E15" s="6" t="s">
        <v>27</v>
      </c>
      <c r="F15" s="6" t="s">
        <v>28</v>
      </c>
      <c r="G15" s="6" t="s">
        <v>28</v>
      </c>
      <c r="H15" s="6" t="s">
        <v>61</v>
      </c>
    </row>
    <row r="16" customFormat="false" ht="23.25" hidden="false" customHeight="true" outlineLevel="0" collapsed="false">
      <c r="A16" s="6" t="n">
        <v>15</v>
      </c>
      <c r="B16" s="6" t="s">
        <v>62</v>
      </c>
      <c r="C16" s="6" t="s">
        <v>25</v>
      </c>
      <c r="D16" s="6" t="s">
        <v>34</v>
      </c>
      <c r="E16" s="6" t="s">
        <v>43</v>
      </c>
      <c r="F16" s="6" t="s">
        <v>28</v>
      </c>
      <c r="G16" s="6" t="s">
        <v>28</v>
      </c>
      <c r="H16" s="6" t="s">
        <v>63</v>
      </c>
    </row>
    <row r="17" customFormat="false" ht="23.25" hidden="false" customHeight="true" outlineLevel="0" collapsed="false">
      <c r="A17" s="6" t="n">
        <v>16</v>
      </c>
      <c r="B17" s="6" t="s">
        <v>64</v>
      </c>
      <c r="C17" s="6" t="s">
        <v>31</v>
      </c>
      <c r="D17" s="6" t="s">
        <v>65</v>
      </c>
      <c r="E17" s="6" t="s">
        <v>43</v>
      </c>
      <c r="F17" s="6" t="s">
        <v>28</v>
      </c>
      <c r="G17" s="6" t="s">
        <v>66</v>
      </c>
      <c r="H17" s="6" t="s">
        <v>67</v>
      </c>
    </row>
    <row r="18" customFormat="false" ht="23.25" hidden="false" customHeight="true" outlineLevel="0" collapsed="false">
      <c r="A18" s="6" t="n">
        <v>17</v>
      </c>
      <c r="B18" s="6" t="s">
        <v>68</v>
      </c>
      <c r="C18" s="6" t="s">
        <v>25</v>
      </c>
      <c r="D18" s="6" t="s">
        <v>26</v>
      </c>
      <c r="E18" s="6" t="s">
        <v>43</v>
      </c>
      <c r="F18" s="6" t="s">
        <v>28</v>
      </c>
      <c r="G18" s="6" t="s">
        <v>38</v>
      </c>
      <c r="H18" s="6" t="s">
        <v>69</v>
      </c>
    </row>
    <row r="19" customFormat="false" ht="23.25" hidden="false" customHeight="true" outlineLevel="0" collapsed="false">
      <c r="A19" s="6" t="n">
        <v>18</v>
      </c>
      <c r="B19" s="6" t="s">
        <v>70</v>
      </c>
      <c r="C19" s="6" t="s">
        <v>25</v>
      </c>
      <c r="D19" s="6" t="s">
        <v>34</v>
      </c>
      <c r="E19" s="6" t="s">
        <v>27</v>
      </c>
      <c r="F19" s="6" t="s">
        <v>28</v>
      </c>
      <c r="G19" s="6" t="s">
        <v>28</v>
      </c>
      <c r="H19" s="6" t="s">
        <v>71</v>
      </c>
    </row>
    <row r="20" customFormat="false" ht="23.25" hidden="false" customHeight="true" outlineLevel="0" collapsed="false">
      <c r="A20" s="6" t="n">
        <v>19</v>
      </c>
      <c r="B20" s="6" t="s">
        <v>72</v>
      </c>
      <c r="C20" s="6" t="s">
        <v>25</v>
      </c>
      <c r="D20" s="6" t="s">
        <v>34</v>
      </c>
      <c r="E20" s="6" t="s">
        <v>27</v>
      </c>
      <c r="F20" s="6" t="s">
        <v>28</v>
      </c>
      <c r="G20" s="6" t="s">
        <v>28</v>
      </c>
      <c r="H20" s="6" t="s">
        <v>73</v>
      </c>
    </row>
    <row r="21" customFormat="false" ht="15" hidden="false" customHeight="true" outlineLevel="0" collapsed="false">
      <c r="A21" s="6" t="n">
        <v>20</v>
      </c>
      <c r="B21" s="6" t="s">
        <v>74</v>
      </c>
      <c r="C21" s="6" t="s">
        <v>25</v>
      </c>
      <c r="D21" s="6" t="s">
        <v>34</v>
      </c>
      <c r="E21" s="6" t="s">
        <v>27</v>
      </c>
      <c r="F21" s="6" t="s">
        <v>28</v>
      </c>
      <c r="G21" s="6" t="s">
        <v>28</v>
      </c>
      <c r="H21" s="6" t="s">
        <v>75</v>
      </c>
    </row>
    <row r="22" customFormat="false" ht="15" hidden="false" customHeight="true" outlineLevel="0" collapsed="false">
      <c r="A22" s="6" t="n">
        <v>21</v>
      </c>
      <c r="B22" s="6" t="s">
        <v>76</v>
      </c>
      <c r="C22" s="6" t="s">
        <v>25</v>
      </c>
      <c r="D22" s="6" t="s">
        <v>34</v>
      </c>
      <c r="E22" s="6" t="s">
        <v>35</v>
      </c>
      <c r="F22" s="6" t="s">
        <v>28</v>
      </c>
      <c r="G22" s="6" t="s">
        <v>28</v>
      </c>
      <c r="H22" s="6" t="s">
        <v>77</v>
      </c>
    </row>
    <row r="23" customFormat="false" ht="15" hidden="false" customHeight="true" outlineLevel="0" collapsed="false">
      <c r="A23" s="6" t="n">
        <v>22</v>
      </c>
      <c r="B23" s="6" t="s">
        <v>78</v>
      </c>
      <c r="C23" s="6" t="s">
        <v>25</v>
      </c>
      <c r="D23" s="6" t="s">
        <v>34</v>
      </c>
      <c r="E23" s="6" t="s">
        <v>54</v>
      </c>
      <c r="F23" s="6" t="s">
        <v>28</v>
      </c>
      <c r="G23" s="6" t="s">
        <v>28</v>
      </c>
      <c r="H23" s="6" t="s">
        <v>79</v>
      </c>
    </row>
    <row r="24" customFormat="false" ht="15" hidden="false" customHeight="true" outlineLevel="0" collapsed="false">
      <c r="A24" s="6" t="n">
        <v>23</v>
      </c>
      <c r="B24" s="6" t="s">
        <v>80</v>
      </c>
      <c r="C24" s="6" t="s">
        <v>25</v>
      </c>
      <c r="D24" s="6" t="s">
        <v>34</v>
      </c>
      <c r="E24" s="6" t="s">
        <v>27</v>
      </c>
      <c r="F24" s="6" t="s">
        <v>28</v>
      </c>
      <c r="G24" s="6" t="s">
        <v>28</v>
      </c>
      <c r="H24" s="6" t="s">
        <v>81</v>
      </c>
    </row>
    <row r="25" customFormat="false" ht="15" hidden="false" customHeight="true" outlineLevel="0" collapsed="false">
      <c r="A25" s="6" t="n">
        <v>24</v>
      </c>
      <c r="B25" s="6" t="s">
        <v>82</v>
      </c>
      <c r="C25" s="6" t="s">
        <v>25</v>
      </c>
      <c r="D25" s="6" t="s">
        <v>65</v>
      </c>
      <c r="E25" s="6" t="s">
        <v>27</v>
      </c>
      <c r="F25" s="6" t="s">
        <v>28</v>
      </c>
      <c r="G25" s="6" t="s">
        <v>28</v>
      </c>
      <c r="H25" s="6" t="s">
        <v>83</v>
      </c>
    </row>
    <row r="26" customFormat="false" ht="23.25" hidden="false" customHeight="true" outlineLevel="0" collapsed="false">
      <c r="A26" s="6" t="n">
        <v>25</v>
      </c>
      <c r="B26" s="6" t="s">
        <v>84</v>
      </c>
      <c r="C26" s="6" t="s">
        <v>25</v>
      </c>
      <c r="D26" s="6" t="s">
        <v>34</v>
      </c>
      <c r="E26" s="6" t="s">
        <v>27</v>
      </c>
      <c r="F26" s="6" t="s">
        <v>28</v>
      </c>
      <c r="G26" s="6" t="s">
        <v>28</v>
      </c>
      <c r="H26" s="6" t="s">
        <v>85</v>
      </c>
    </row>
    <row r="27" customFormat="false" ht="15" hidden="false" customHeight="true" outlineLevel="0" collapsed="false">
      <c r="A27" s="6" t="n">
        <v>26</v>
      </c>
      <c r="B27" s="6" t="s">
        <v>86</v>
      </c>
      <c r="C27" s="6" t="s">
        <v>25</v>
      </c>
      <c r="D27" s="6" t="s">
        <v>34</v>
      </c>
      <c r="E27" s="6" t="s">
        <v>27</v>
      </c>
      <c r="F27" s="6" t="s">
        <v>28</v>
      </c>
      <c r="G27" s="6" t="s">
        <v>66</v>
      </c>
      <c r="H27" s="6" t="s">
        <v>87</v>
      </c>
    </row>
    <row r="28" customFormat="false" ht="15" hidden="false" customHeight="true" outlineLevel="0" collapsed="false">
      <c r="A28" s="6" t="n">
        <v>27</v>
      </c>
      <c r="B28" s="6" t="s">
        <v>88</v>
      </c>
      <c r="C28" s="6" t="s">
        <v>25</v>
      </c>
      <c r="D28" s="6" t="s">
        <v>34</v>
      </c>
      <c r="E28" s="6" t="s">
        <v>27</v>
      </c>
      <c r="F28" s="6" t="s">
        <v>28</v>
      </c>
      <c r="G28" s="6" t="s">
        <v>28</v>
      </c>
      <c r="H28" s="6" t="s">
        <v>89</v>
      </c>
    </row>
    <row r="29" customFormat="false" ht="15" hidden="false" customHeight="true" outlineLevel="0" collapsed="false">
      <c r="A29" s="6" t="n">
        <v>28</v>
      </c>
      <c r="B29" s="6" t="s">
        <v>90</v>
      </c>
      <c r="C29" s="6" t="s">
        <v>25</v>
      </c>
      <c r="D29" s="6" t="s">
        <v>65</v>
      </c>
      <c r="E29" s="6" t="s">
        <v>43</v>
      </c>
      <c r="F29" s="6" t="s">
        <v>28</v>
      </c>
      <c r="G29" s="6" t="s">
        <v>91</v>
      </c>
      <c r="H29" s="6" t="s">
        <v>92</v>
      </c>
    </row>
    <row r="30" customFormat="false" ht="15" hidden="false" customHeight="true" outlineLevel="0" collapsed="false">
      <c r="A30" s="6" t="n">
        <v>29</v>
      </c>
      <c r="B30" s="6" t="s">
        <v>93</v>
      </c>
      <c r="C30" s="6" t="s">
        <v>25</v>
      </c>
      <c r="D30" s="6" t="s">
        <v>34</v>
      </c>
      <c r="E30" s="6" t="s">
        <v>43</v>
      </c>
      <c r="F30" s="6" t="s">
        <v>28</v>
      </c>
      <c r="G30" s="6" t="s">
        <v>91</v>
      </c>
      <c r="H30" s="6" t="s">
        <v>94</v>
      </c>
    </row>
    <row r="31" customFormat="false" ht="23.25" hidden="false" customHeight="true" outlineLevel="0" collapsed="false">
      <c r="A31" s="6" t="n">
        <v>30</v>
      </c>
      <c r="B31" s="6" t="s">
        <v>95</v>
      </c>
      <c r="C31" s="6" t="s">
        <v>25</v>
      </c>
      <c r="D31" s="6" t="s">
        <v>34</v>
      </c>
      <c r="E31" s="6" t="s">
        <v>27</v>
      </c>
      <c r="F31" s="6" t="s">
        <v>28</v>
      </c>
      <c r="G31" s="6" t="s">
        <v>28</v>
      </c>
      <c r="H31" s="6" t="s">
        <v>96</v>
      </c>
    </row>
    <row r="32" customFormat="false" ht="15" hidden="false" customHeight="true" outlineLevel="0" collapsed="false">
      <c r="A32" s="6" t="n">
        <v>31</v>
      </c>
      <c r="B32" s="6" t="s">
        <v>97</v>
      </c>
      <c r="C32" s="6" t="s">
        <v>25</v>
      </c>
      <c r="D32" s="6" t="s">
        <v>34</v>
      </c>
      <c r="E32" s="6" t="s">
        <v>27</v>
      </c>
      <c r="F32" s="6" t="s">
        <v>28</v>
      </c>
      <c r="G32" s="6" t="s">
        <v>28</v>
      </c>
      <c r="H32" s="6" t="s">
        <v>98</v>
      </c>
    </row>
    <row r="33" customFormat="false" ht="15" hidden="false" customHeight="true" outlineLevel="0" collapsed="false">
      <c r="A33" s="6" t="n">
        <v>32</v>
      </c>
      <c r="B33" s="6" t="s">
        <v>99</v>
      </c>
      <c r="C33" s="6" t="s">
        <v>25</v>
      </c>
      <c r="D33" s="6" t="s">
        <v>34</v>
      </c>
      <c r="E33" s="6" t="s">
        <v>27</v>
      </c>
      <c r="F33" s="6" t="s">
        <v>28</v>
      </c>
      <c r="G33" s="6" t="s">
        <v>28</v>
      </c>
      <c r="H33" s="6" t="s">
        <v>100</v>
      </c>
    </row>
    <row r="34" customFormat="false" ht="23.25" hidden="false" customHeight="true" outlineLevel="0" collapsed="false">
      <c r="A34" s="6" t="n">
        <v>33</v>
      </c>
      <c r="B34" s="6" t="s">
        <v>101</v>
      </c>
      <c r="C34" s="6" t="s">
        <v>25</v>
      </c>
      <c r="D34" s="6" t="s">
        <v>26</v>
      </c>
      <c r="E34" s="6" t="s">
        <v>35</v>
      </c>
      <c r="F34" s="6" t="s">
        <v>28</v>
      </c>
      <c r="G34" s="6" t="s">
        <v>91</v>
      </c>
      <c r="H34" s="6" t="s">
        <v>102</v>
      </c>
    </row>
    <row r="35" customFormat="false" ht="15" hidden="false" customHeight="true" outlineLevel="0" collapsed="false">
      <c r="A35" s="6" t="n">
        <v>34</v>
      </c>
      <c r="B35" s="6" t="s">
        <v>103</v>
      </c>
      <c r="C35" s="6" t="s">
        <v>25</v>
      </c>
      <c r="D35" s="6" t="s">
        <v>65</v>
      </c>
      <c r="E35" s="6" t="s">
        <v>27</v>
      </c>
      <c r="F35" s="6" t="s">
        <v>28</v>
      </c>
      <c r="G35" s="6" t="s">
        <v>38</v>
      </c>
      <c r="H35" s="6" t="s">
        <v>104</v>
      </c>
    </row>
    <row r="36" customFormat="false" ht="23.25" hidden="false" customHeight="true" outlineLevel="0" collapsed="false">
      <c r="A36" s="6" t="n">
        <v>35</v>
      </c>
      <c r="B36" s="6" t="s">
        <v>105</v>
      </c>
      <c r="C36" s="6" t="s">
        <v>31</v>
      </c>
      <c r="D36" s="6" t="s">
        <v>34</v>
      </c>
      <c r="E36" s="6" t="s">
        <v>106</v>
      </c>
      <c r="F36" s="6" t="s">
        <v>28</v>
      </c>
      <c r="G36" s="6" t="s">
        <v>91</v>
      </c>
      <c r="H36" s="6" t="s">
        <v>107</v>
      </c>
    </row>
    <row r="37" customFormat="false" ht="15" hidden="false" customHeight="true" outlineLevel="0" collapsed="false">
      <c r="A37" s="6" t="n">
        <v>36</v>
      </c>
      <c r="B37" s="6" t="s">
        <v>108</v>
      </c>
      <c r="C37" s="6" t="s">
        <v>31</v>
      </c>
      <c r="D37" s="6" t="s">
        <v>65</v>
      </c>
      <c r="E37" s="6" t="s">
        <v>27</v>
      </c>
      <c r="F37" s="6" t="s">
        <v>109</v>
      </c>
      <c r="G37" s="6" t="s">
        <v>109</v>
      </c>
      <c r="H37" s="6" t="s">
        <v>110</v>
      </c>
    </row>
    <row r="38" customFormat="false" ht="15" hidden="false" customHeight="true" outlineLevel="0" collapsed="false">
      <c r="A38" s="6" t="n">
        <v>37</v>
      </c>
      <c r="B38" s="6" t="s">
        <v>111</v>
      </c>
      <c r="C38" s="6" t="s">
        <v>25</v>
      </c>
      <c r="D38" s="6" t="s">
        <v>26</v>
      </c>
      <c r="E38" s="6" t="s">
        <v>35</v>
      </c>
      <c r="F38" s="6" t="s">
        <v>109</v>
      </c>
      <c r="G38" s="6" t="s">
        <v>109</v>
      </c>
      <c r="H38" s="6" t="s">
        <v>112</v>
      </c>
    </row>
    <row r="39" customFormat="false" ht="15" hidden="false" customHeight="true" outlineLevel="0" collapsed="false">
      <c r="A39" s="6" t="n">
        <v>38</v>
      </c>
      <c r="B39" s="6" t="s">
        <v>113</v>
      </c>
      <c r="C39" s="6" t="s">
        <v>25</v>
      </c>
      <c r="D39" s="6" t="s">
        <v>26</v>
      </c>
      <c r="E39" s="6" t="s">
        <v>43</v>
      </c>
      <c r="F39" s="6" t="s">
        <v>109</v>
      </c>
      <c r="G39" s="6" t="s">
        <v>114</v>
      </c>
      <c r="H39" s="6" t="s">
        <v>115</v>
      </c>
    </row>
    <row r="40" customFormat="false" ht="15" hidden="false" customHeight="true" outlineLevel="0" collapsed="false">
      <c r="A40" s="6" t="n">
        <v>39</v>
      </c>
      <c r="B40" s="6" t="s">
        <v>116</v>
      </c>
      <c r="C40" s="6" t="s">
        <v>25</v>
      </c>
      <c r="D40" s="6" t="s">
        <v>26</v>
      </c>
      <c r="E40" s="6" t="s">
        <v>54</v>
      </c>
      <c r="F40" s="6" t="s">
        <v>109</v>
      </c>
      <c r="G40" s="6" t="s">
        <v>109</v>
      </c>
      <c r="H40" s="6" t="s">
        <v>117</v>
      </c>
    </row>
    <row r="41" customFormat="false" ht="15" hidden="false" customHeight="true" outlineLevel="0" collapsed="false">
      <c r="A41" s="6" t="n">
        <v>40</v>
      </c>
      <c r="B41" s="6" t="s">
        <v>118</v>
      </c>
      <c r="C41" s="6" t="s">
        <v>25</v>
      </c>
      <c r="D41" s="6" t="s">
        <v>34</v>
      </c>
      <c r="E41" s="6" t="s">
        <v>54</v>
      </c>
      <c r="F41" s="6" t="s">
        <v>109</v>
      </c>
      <c r="G41" s="6" t="s">
        <v>109</v>
      </c>
      <c r="H41" s="6" t="s">
        <v>119</v>
      </c>
    </row>
    <row r="42" customFormat="false" ht="15" hidden="false" customHeight="true" outlineLevel="0" collapsed="false">
      <c r="A42" s="6" t="n">
        <v>41</v>
      </c>
      <c r="B42" s="6" t="s">
        <v>120</v>
      </c>
      <c r="C42" s="6" t="s">
        <v>25</v>
      </c>
      <c r="D42" s="6" t="s">
        <v>34</v>
      </c>
      <c r="E42" s="6" t="s">
        <v>54</v>
      </c>
      <c r="F42" s="6" t="s">
        <v>109</v>
      </c>
      <c r="G42" s="6" t="s">
        <v>114</v>
      </c>
      <c r="H42" s="6" t="s">
        <v>121</v>
      </c>
    </row>
    <row r="43" customFormat="false" ht="15" hidden="false" customHeight="true" outlineLevel="0" collapsed="false">
      <c r="A43" s="6" t="n">
        <v>42</v>
      </c>
      <c r="B43" s="6" t="s">
        <v>122</v>
      </c>
      <c r="C43" s="6" t="s">
        <v>25</v>
      </c>
      <c r="D43" s="6" t="s">
        <v>34</v>
      </c>
      <c r="E43" s="6" t="s">
        <v>43</v>
      </c>
      <c r="F43" s="6" t="s">
        <v>109</v>
      </c>
      <c r="G43" s="6" t="s">
        <v>109</v>
      </c>
      <c r="H43" s="6" t="s">
        <v>123</v>
      </c>
    </row>
    <row r="44" customFormat="false" ht="15" hidden="false" customHeight="true" outlineLevel="0" collapsed="false">
      <c r="A44" s="6" t="n">
        <v>43</v>
      </c>
      <c r="B44" s="6" t="s">
        <v>124</v>
      </c>
      <c r="C44" s="6" t="s">
        <v>25</v>
      </c>
      <c r="D44" s="6" t="s">
        <v>34</v>
      </c>
      <c r="E44" s="6" t="s">
        <v>54</v>
      </c>
      <c r="F44" s="6" t="s">
        <v>109</v>
      </c>
      <c r="G44" s="6" t="s">
        <v>109</v>
      </c>
      <c r="H44" s="6" t="s">
        <v>125</v>
      </c>
    </row>
    <row r="45" customFormat="false" ht="15" hidden="false" customHeight="true" outlineLevel="0" collapsed="false">
      <c r="A45" s="6" t="n">
        <v>44</v>
      </c>
      <c r="B45" s="6" t="s">
        <v>126</v>
      </c>
      <c r="C45" s="6" t="s">
        <v>25</v>
      </c>
      <c r="D45" s="6" t="s">
        <v>34</v>
      </c>
      <c r="E45" s="6" t="s">
        <v>35</v>
      </c>
      <c r="F45" s="6" t="s">
        <v>109</v>
      </c>
      <c r="G45" s="6" t="s">
        <v>127</v>
      </c>
      <c r="H45" s="6" t="s">
        <v>128</v>
      </c>
    </row>
    <row r="46" customFormat="false" ht="23.25" hidden="false" customHeight="true" outlineLevel="0" collapsed="false">
      <c r="A46" s="6" t="n">
        <v>45</v>
      </c>
      <c r="B46" s="6" t="s">
        <v>129</v>
      </c>
      <c r="C46" s="6" t="s">
        <v>31</v>
      </c>
      <c r="D46" s="6" t="s">
        <v>34</v>
      </c>
      <c r="E46" s="6" t="s">
        <v>43</v>
      </c>
      <c r="F46" s="6" t="s">
        <v>109</v>
      </c>
      <c r="G46" s="6" t="s">
        <v>114</v>
      </c>
      <c r="H46" s="6" t="s">
        <v>130</v>
      </c>
    </row>
    <row r="47" customFormat="false" ht="15" hidden="false" customHeight="true" outlineLevel="0" collapsed="false">
      <c r="A47" s="6" t="n">
        <v>46</v>
      </c>
      <c r="B47" s="6" t="s">
        <v>131</v>
      </c>
      <c r="C47" s="6" t="s">
        <v>31</v>
      </c>
      <c r="D47" s="6" t="s">
        <v>65</v>
      </c>
      <c r="E47" s="6" t="s">
        <v>106</v>
      </c>
      <c r="F47" s="6" t="s">
        <v>109</v>
      </c>
      <c r="G47" s="6" t="s">
        <v>109</v>
      </c>
      <c r="H47" s="6" t="s">
        <v>132</v>
      </c>
    </row>
    <row r="48" customFormat="false" ht="15" hidden="false" customHeight="true" outlineLevel="0" collapsed="false">
      <c r="A48" s="6" t="n">
        <v>47</v>
      </c>
      <c r="B48" s="6" t="s">
        <v>133</v>
      </c>
      <c r="C48" s="6" t="s">
        <v>25</v>
      </c>
      <c r="D48" s="6" t="s">
        <v>26</v>
      </c>
      <c r="E48" s="6" t="s">
        <v>43</v>
      </c>
      <c r="F48" s="6" t="s">
        <v>109</v>
      </c>
      <c r="G48" s="6" t="s">
        <v>114</v>
      </c>
      <c r="H48" s="6" t="s">
        <v>134</v>
      </c>
    </row>
    <row r="49" customFormat="false" ht="23.25" hidden="false" customHeight="true" outlineLevel="0" collapsed="false">
      <c r="A49" s="6" t="n">
        <v>48</v>
      </c>
      <c r="B49" s="6" t="s">
        <v>135</v>
      </c>
      <c r="C49" s="6" t="s">
        <v>25</v>
      </c>
      <c r="D49" s="6" t="s">
        <v>26</v>
      </c>
      <c r="E49" s="6" t="s">
        <v>27</v>
      </c>
      <c r="F49" s="6" t="s">
        <v>109</v>
      </c>
      <c r="G49" s="6" t="s">
        <v>136</v>
      </c>
      <c r="H49" s="6" t="s">
        <v>137</v>
      </c>
    </row>
    <row r="50" customFormat="false" ht="15" hidden="false" customHeight="true" outlineLevel="0" collapsed="false">
      <c r="A50" s="6" t="n">
        <v>49</v>
      </c>
      <c r="B50" s="6" t="s">
        <v>138</v>
      </c>
      <c r="C50" s="6" t="s">
        <v>25</v>
      </c>
      <c r="D50" s="6" t="s">
        <v>34</v>
      </c>
      <c r="E50" s="6" t="s">
        <v>43</v>
      </c>
      <c r="F50" s="6" t="s">
        <v>109</v>
      </c>
      <c r="G50" s="6" t="s">
        <v>127</v>
      </c>
      <c r="H50" s="6" t="s">
        <v>139</v>
      </c>
    </row>
    <row r="51" customFormat="false" ht="15" hidden="false" customHeight="true" outlineLevel="0" collapsed="false">
      <c r="A51" s="6" t="n">
        <v>50</v>
      </c>
      <c r="B51" s="6" t="s">
        <v>140</v>
      </c>
      <c r="C51" s="6" t="s">
        <v>25</v>
      </c>
      <c r="D51" s="6" t="s">
        <v>26</v>
      </c>
      <c r="E51" s="6" t="s">
        <v>27</v>
      </c>
      <c r="F51" s="6" t="s">
        <v>109</v>
      </c>
      <c r="G51" s="6" t="s">
        <v>109</v>
      </c>
      <c r="H51" s="6" t="s">
        <v>141</v>
      </c>
    </row>
    <row r="52" customFormat="false" ht="15" hidden="false" customHeight="true" outlineLevel="0" collapsed="false">
      <c r="A52" s="6" t="n">
        <v>51</v>
      </c>
      <c r="B52" s="6" t="s">
        <v>142</v>
      </c>
      <c r="C52" s="6" t="s">
        <v>25</v>
      </c>
      <c r="D52" s="6" t="s">
        <v>34</v>
      </c>
      <c r="E52" s="6" t="s">
        <v>43</v>
      </c>
      <c r="F52" s="6" t="s">
        <v>109</v>
      </c>
      <c r="G52" s="6" t="s">
        <v>109</v>
      </c>
      <c r="H52" s="6" t="s">
        <v>143</v>
      </c>
    </row>
    <row r="53" customFormat="false" ht="15" hidden="false" customHeight="true" outlineLevel="0" collapsed="false">
      <c r="A53" s="6" t="n">
        <v>52</v>
      </c>
      <c r="B53" s="6" t="s">
        <v>144</v>
      </c>
      <c r="C53" s="6" t="s">
        <v>25</v>
      </c>
      <c r="D53" s="6" t="s">
        <v>65</v>
      </c>
      <c r="E53" s="6" t="s">
        <v>35</v>
      </c>
      <c r="F53" s="6" t="s">
        <v>109</v>
      </c>
      <c r="G53" s="6" t="s">
        <v>114</v>
      </c>
      <c r="H53" s="6" t="s">
        <v>145</v>
      </c>
    </row>
    <row r="54" customFormat="false" ht="15" hidden="false" customHeight="true" outlineLevel="0" collapsed="false">
      <c r="A54" s="6" t="n">
        <v>53</v>
      </c>
      <c r="B54" s="6" t="s">
        <v>146</v>
      </c>
      <c r="C54" s="6" t="s">
        <v>25</v>
      </c>
      <c r="D54" s="6" t="s">
        <v>34</v>
      </c>
      <c r="E54" s="6" t="s">
        <v>43</v>
      </c>
      <c r="F54" s="6" t="s">
        <v>109</v>
      </c>
      <c r="G54" s="6" t="s">
        <v>109</v>
      </c>
      <c r="H54" s="6" t="s">
        <v>147</v>
      </c>
    </row>
    <row r="55" customFormat="false" ht="15" hidden="false" customHeight="true" outlineLevel="0" collapsed="false">
      <c r="A55" s="6" t="n">
        <v>54</v>
      </c>
      <c r="B55" s="6" t="s">
        <v>148</v>
      </c>
      <c r="C55" s="6" t="s">
        <v>25</v>
      </c>
      <c r="D55" s="6" t="s">
        <v>34</v>
      </c>
      <c r="E55" s="6" t="s">
        <v>106</v>
      </c>
      <c r="F55" s="6" t="s">
        <v>109</v>
      </c>
      <c r="G55" s="6" t="s">
        <v>109</v>
      </c>
      <c r="H55" s="6" t="s">
        <v>149</v>
      </c>
    </row>
    <row r="56" customFormat="false" ht="15" hidden="false" customHeight="true" outlineLevel="0" collapsed="false">
      <c r="A56" s="6" t="n">
        <v>55</v>
      </c>
      <c r="B56" s="6" t="s">
        <v>150</v>
      </c>
      <c r="C56" s="6" t="s">
        <v>25</v>
      </c>
      <c r="D56" s="6" t="s">
        <v>34</v>
      </c>
      <c r="E56" s="6" t="s">
        <v>54</v>
      </c>
      <c r="F56" s="6" t="s">
        <v>109</v>
      </c>
      <c r="G56" s="6" t="s">
        <v>109</v>
      </c>
      <c r="H56" s="6" t="s">
        <v>151</v>
      </c>
    </row>
    <row r="57" customFormat="false" ht="15" hidden="false" customHeight="true" outlineLevel="0" collapsed="false">
      <c r="A57" s="6" t="n">
        <v>56</v>
      </c>
      <c r="B57" s="6" t="s">
        <v>152</v>
      </c>
      <c r="C57" s="6" t="s">
        <v>25</v>
      </c>
      <c r="D57" s="6" t="s">
        <v>34</v>
      </c>
      <c r="E57" s="6" t="s">
        <v>43</v>
      </c>
      <c r="F57" s="6" t="s">
        <v>109</v>
      </c>
      <c r="G57" s="6" t="s">
        <v>109</v>
      </c>
      <c r="H57" s="6" t="s">
        <v>153</v>
      </c>
    </row>
    <row r="58" customFormat="false" ht="15" hidden="false" customHeight="true" outlineLevel="0" collapsed="false">
      <c r="A58" s="6" t="n">
        <v>57</v>
      </c>
      <c r="B58" s="6" t="s">
        <v>154</v>
      </c>
      <c r="C58" s="6" t="s">
        <v>25</v>
      </c>
      <c r="D58" s="6" t="s">
        <v>26</v>
      </c>
      <c r="E58" s="6" t="s">
        <v>54</v>
      </c>
      <c r="F58" s="6" t="s">
        <v>109</v>
      </c>
      <c r="G58" s="6" t="s">
        <v>109</v>
      </c>
      <c r="H58" s="6" t="s">
        <v>155</v>
      </c>
    </row>
    <row r="59" customFormat="false" ht="15" hidden="false" customHeight="true" outlineLevel="0" collapsed="false">
      <c r="A59" s="6" t="n">
        <v>58</v>
      </c>
      <c r="B59" s="6" t="s">
        <v>156</v>
      </c>
      <c r="C59" s="6" t="s">
        <v>25</v>
      </c>
      <c r="D59" s="6" t="s">
        <v>26</v>
      </c>
      <c r="E59" s="6" t="s">
        <v>106</v>
      </c>
      <c r="F59" s="6" t="s">
        <v>109</v>
      </c>
      <c r="G59" s="6" t="s">
        <v>109</v>
      </c>
      <c r="H59" s="6" t="s">
        <v>157</v>
      </c>
    </row>
    <row r="60" customFormat="false" ht="15" hidden="false" customHeight="true" outlineLevel="0" collapsed="false">
      <c r="A60" s="6" t="n">
        <v>59</v>
      </c>
      <c r="B60" s="6" t="s">
        <v>158</v>
      </c>
      <c r="C60" s="6" t="s">
        <v>25</v>
      </c>
      <c r="D60" s="6" t="s">
        <v>159</v>
      </c>
      <c r="E60" s="6" t="s">
        <v>27</v>
      </c>
      <c r="F60" s="6" t="s">
        <v>160</v>
      </c>
      <c r="G60" s="6" t="s">
        <v>161</v>
      </c>
      <c r="H60" s="6" t="s">
        <v>162</v>
      </c>
    </row>
    <row r="61" customFormat="false" ht="15" hidden="false" customHeight="true" outlineLevel="0" collapsed="false">
      <c r="A61" s="6" t="n">
        <v>60</v>
      </c>
      <c r="B61" s="6" t="s">
        <v>163</v>
      </c>
      <c r="C61" s="6" t="s">
        <v>25</v>
      </c>
      <c r="D61" s="6" t="s">
        <v>34</v>
      </c>
      <c r="E61" s="6" t="s">
        <v>27</v>
      </c>
      <c r="F61" s="6" t="s">
        <v>160</v>
      </c>
      <c r="G61" s="6" t="s">
        <v>160</v>
      </c>
      <c r="H61" s="6" t="s">
        <v>164</v>
      </c>
    </row>
    <row r="62" customFormat="false" ht="23.25" hidden="false" customHeight="true" outlineLevel="0" collapsed="false">
      <c r="A62" s="6" t="n">
        <v>61</v>
      </c>
      <c r="B62" s="6" t="s">
        <v>165</v>
      </c>
      <c r="C62" s="6" t="s">
        <v>25</v>
      </c>
      <c r="D62" s="6" t="s">
        <v>26</v>
      </c>
      <c r="E62" s="6" t="s">
        <v>27</v>
      </c>
      <c r="F62" s="6" t="s">
        <v>160</v>
      </c>
      <c r="G62" s="6" t="s">
        <v>160</v>
      </c>
      <c r="H62" s="6" t="s">
        <v>166</v>
      </c>
    </row>
    <row r="63" customFormat="false" ht="15" hidden="false" customHeight="true" outlineLevel="0" collapsed="false">
      <c r="A63" s="6" t="n">
        <v>62</v>
      </c>
      <c r="B63" s="6" t="s">
        <v>167</v>
      </c>
      <c r="C63" s="6" t="s">
        <v>31</v>
      </c>
      <c r="D63" s="6" t="s">
        <v>26</v>
      </c>
      <c r="E63" s="6" t="s">
        <v>27</v>
      </c>
      <c r="F63" s="6" t="s">
        <v>160</v>
      </c>
      <c r="G63" s="6" t="s">
        <v>160</v>
      </c>
      <c r="H63" s="6" t="s">
        <v>168</v>
      </c>
    </row>
    <row r="64" customFormat="false" ht="15" hidden="false" customHeight="true" outlineLevel="0" collapsed="false">
      <c r="A64" s="6" t="n">
        <v>63</v>
      </c>
      <c r="B64" s="6" t="s">
        <v>169</v>
      </c>
      <c r="C64" s="6" t="s">
        <v>31</v>
      </c>
      <c r="D64" s="6" t="s">
        <v>170</v>
      </c>
      <c r="E64" s="6" t="s">
        <v>27</v>
      </c>
      <c r="F64" s="6" t="s">
        <v>160</v>
      </c>
      <c r="G64" s="6" t="s">
        <v>160</v>
      </c>
      <c r="H64" s="6" t="s">
        <v>171</v>
      </c>
    </row>
    <row r="65" customFormat="false" ht="23.25" hidden="false" customHeight="true" outlineLevel="0" collapsed="false">
      <c r="A65" s="6" t="n">
        <v>64</v>
      </c>
      <c r="B65" s="6" t="s">
        <v>172</v>
      </c>
      <c r="C65" s="6" t="s">
        <v>31</v>
      </c>
      <c r="D65" s="6" t="s">
        <v>26</v>
      </c>
      <c r="E65" s="6" t="s">
        <v>27</v>
      </c>
      <c r="F65" s="6" t="s">
        <v>160</v>
      </c>
      <c r="G65" s="6" t="s">
        <v>160</v>
      </c>
      <c r="H65" s="6" t="s">
        <v>173</v>
      </c>
    </row>
    <row r="66" customFormat="false" ht="15" hidden="false" customHeight="true" outlineLevel="0" collapsed="false">
      <c r="A66" s="6" t="n">
        <v>65</v>
      </c>
      <c r="B66" s="6" t="s">
        <v>174</v>
      </c>
      <c r="C66" s="6" t="s">
        <v>25</v>
      </c>
      <c r="D66" s="6" t="s">
        <v>170</v>
      </c>
      <c r="E66" s="6" t="s">
        <v>35</v>
      </c>
      <c r="F66" s="6" t="s">
        <v>160</v>
      </c>
      <c r="G66" s="6" t="s">
        <v>160</v>
      </c>
      <c r="H66" s="6" t="s">
        <v>175</v>
      </c>
    </row>
    <row r="67" customFormat="false" ht="15" hidden="false" customHeight="true" outlineLevel="0" collapsed="false">
      <c r="A67" s="6" t="n">
        <v>66</v>
      </c>
      <c r="B67" s="6" t="s">
        <v>176</v>
      </c>
      <c r="C67" s="6" t="s">
        <v>31</v>
      </c>
      <c r="D67" s="6" t="s">
        <v>26</v>
      </c>
      <c r="E67" s="6" t="s">
        <v>27</v>
      </c>
      <c r="F67" s="6" t="s">
        <v>160</v>
      </c>
      <c r="G67" s="6" t="s">
        <v>160</v>
      </c>
      <c r="H67" s="6" t="s">
        <v>177</v>
      </c>
    </row>
    <row r="68" customFormat="false" ht="15" hidden="false" customHeight="true" outlineLevel="0" collapsed="false">
      <c r="A68" s="6" t="n">
        <v>67</v>
      </c>
      <c r="B68" s="6" t="s">
        <v>178</v>
      </c>
      <c r="C68" s="6" t="s">
        <v>25</v>
      </c>
      <c r="D68" s="6" t="s">
        <v>26</v>
      </c>
      <c r="E68" s="6" t="s">
        <v>27</v>
      </c>
      <c r="F68" s="6" t="s">
        <v>160</v>
      </c>
      <c r="G68" s="6" t="s">
        <v>160</v>
      </c>
      <c r="H68" s="6" t="s">
        <v>179</v>
      </c>
    </row>
    <row r="69" customFormat="false" ht="15" hidden="false" customHeight="true" outlineLevel="0" collapsed="false">
      <c r="A69" s="6" t="n">
        <v>68</v>
      </c>
      <c r="B69" s="6" t="s">
        <v>180</v>
      </c>
      <c r="C69" s="6" t="s">
        <v>25</v>
      </c>
      <c r="D69" s="6" t="s">
        <v>65</v>
      </c>
      <c r="E69" s="6" t="s">
        <v>35</v>
      </c>
      <c r="F69" s="6" t="s">
        <v>160</v>
      </c>
      <c r="G69" s="6" t="s">
        <v>160</v>
      </c>
      <c r="H69" s="6" t="s">
        <v>181</v>
      </c>
    </row>
    <row r="70" customFormat="false" ht="15" hidden="false" customHeight="true" outlineLevel="0" collapsed="false">
      <c r="A70" s="6" t="n">
        <v>69</v>
      </c>
      <c r="B70" s="6" t="s">
        <v>182</v>
      </c>
      <c r="C70" s="6" t="s">
        <v>25</v>
      </c>
      <c r="D70" s="6" t="s">
        <v>26</v>
      </c>
      <c r="E70" s="6" t="s">
        <v>27</v>
      </c>
      <c r="F70" s="6" t="s">
        <v>160</v>
      </c>
      <c r="G70" s="6" t="s">
        <v>160</v>
      </c>
      <c r="H70" s="6" t="s">
        <v>183</v>
      </c>
    </row>
    <row r="71" customFormat="false" ht="15" hidden="false" customHeight="true" outlineLevel="0" collapsed="false">
      <c r="A71" s="6" t="n">
        <v>70</v>
      </c>
      <c r="B71" s="6" t="s">
        <v>184</v>
      </c>
      <c r="C71" s="6" t="s">
        <v>25</v>
      </c>
      <c r="D71" s="6" t="s">
        <v>26</v>
      </c>
      <c r="E71" s="6" t="s">
        <v>27</v>
      </c>
      <c r="F71" s="6" t="s">
        <v>160</v>
      </c>
      <c r="G71" s="6" t="s">
        <v>160</v>
      </c>
      <c r="H71" s="6" t="s">
        <v>185</v>
      </c>
    </row>
    <row r="72" customFormat="false" ht="23.25" hidden="false" customHeight="true" outlineLevel="0" collapsed="false">
      <c r="A72" s="6" t="n">
        <v>71</v>
      </c>
      <c r="B72" s="6" t="s">
        <v>186</v>
      </c>
      <c r="C72" s="6" t="s">
        <v>25</v>
      </c>
      <c r="D72" s="6" t="s">
        <v>26</v>
      </c>
      <c r="E72" s="6" t="s">
        <v>27</v>
      </c>
      <c r="F72" s="6" t="s">
        <v>160</v>
      </c>
      <c r="G72" s="6" t="s">
        <v>161</v>
      </c>
      <c r="H72" s="6" t="s">
        <v>187</v>
      </c>
    </row>
    <row r="73" customFormat="false" ht="15" hidden="false" customHeight="true" outlineLevel="0" collapsed="false">
      <c r="A73" s="6" t="n">
        <v>72</v>
      </c>
      <c r="B73" s="6" t="s">
        <v>188</v>
      </c>
      <c r="C73" s="6" t="s">
        <v>25</v>
      </c>
      <c r="D73" s="6" t="s">
        <v>65</v>
      </c>
      <c r="E73" s="6" t="s">
        <v>27</v>
      </c>
      <c r="F73" s="6" t="s">
        <v>160</v>
      </c>
      <c r="G73" s="6" t="s">
        <v>160</v>
      </c>
      <c r="H73" s="6" t="s">
        <v>189</v>
      </c>
    </row>
    <row r="74" customFormat="false" ht="15" hidden="false" customHeight="true" outlineLevel="0" collapsed="false">
      <c r="A74" s="6" t="n">
        <v>73</v>
      </c>
      <c r="B74" s="6" t="s">
        <v>190</v>
      </c>
      <c r="C74" s="6" t="s">
        <v>31</v>
      </c>
      <c r="D74" s="6" t="s">
        <v>26</v>
      </c>
      <c r="E74" s="6" t="s">
        <v>27</v>
      </c>
      <c r="F74" s="6" t="s">
        <v>160</v>
      </c>
      <c r="G74" s="6" t="s">
        <v>160</v>
      </c>
      <c r="H74" s="6" t="s">
        <v>191</v>
      </c>
    </row>
    <row r="75" customFormat="false" ht="23.25" hidden="false" customHeight="true" outlineLevel="0" collapsed="false">
      <c r="A75" s="6" t="n">
        <v>74</v>
      </c>
      <c r="B75" s="6" t="s">
        <v>192</v>
      </c>
      <c r="C75" s="6" t="s">
        <v>25</v>
      </c>
      <c r="D75" s="6" t="s">
        <v>26</v>
      </c>
      <c r="E75" s="6" t="s">
        <v>27</v>
      </c>
      <c r="F75" s="6" t="s">
        <v>160</v>
      </c>
      <c r="G75" s="6" t="s">
        <v>160</v>
      </c>
      <c r="H75" s="6" t="s">
        <v>193</v>
      </c>
    </row>
    <row r="76" customFormat="false" ht="15" hidden="false" customHeight="true" outlineLevel="0" collapsed="false">
      <c r="A76" s="6" t="n">
        <v>75</v>
      </c>
      <c r="B76" s="6" t="s">
        <v>194</v>
      </c>
      <c r="C76" s="6" t="s">
        <v>31</v>
      </c>
      <c r="D76" s="6" t="s">
        <v>26</v>
      </c>
      <c r="E76" s="6" t="s">
        <v>27</v>
      </c>
      <c r="F76" s="6" t="s">
        <v>160</v>
      </c>
      <c r="G76" s="6" t="s">
        <v>160</v>
      </c>
      <c r="H76" s="6" t="s">
        <v>195</v>
      </c>
    </row>
    <row r="77" customFormat="false" ht="15" hidden="false" customHeight="true" outlineLevel="0" collapsed="false">
      <c r="A77" s="6" t="n">
        <v>76</v>
      </c>
      <c r="B77" s="6" t="s">
        <v>196</v>
      </c>
      <c r="C77" s="6" t="s">
        <v>25</v>
      </c>
      <c r="D77" s="6" t="s">
        <v>170</v>
      </c>
      <c r="E77" s="6" t="s">
        <v>54</v>
      </c>
      <c r="F77" s="6" t="s">
        <v>160</v>
      </c>
      <c r="G77" s="6" t="s">
        <v>197</v>
      </c>
      <c r="H77" s="6" t="s">
        <v>198</v>
      </c>
    </row>
    <row r="78" customFormat="false" ht="23.25" hidden="false" customHeight="true" outlineLevel="0" collapsed="false">
      <c r="A78" s="6" t="n">
        <v>77</v>
      </c>
      <c r="B78" s="6" t="s">
        <v>199</v>
      </c>
      <c r="C78" s="6" t="s">
        <v>31</v>
      </c>
      <c r="D78" s="6" t="s">
        <v>26</v>
      </c>
      <c r="E78" s="6" t="s">
        <v>27</v>
      </c>
      <c r="F78" s="6" t="s">
        <v>160</v>
      </c>
      <c r="G78" s="6" t="s">
        <v>161</v>
      </c>
      <c r="H78" s="6" t="s">
        <v>200</v>
      </c>
    </row>
    <row r="79" customFormat="false" ht="23.25" hidden="false" customHeight="true" outlineLevel="0" collapsed="false">
      <c r="A79" s="6" t="n">
        <v>78</v>
      </c>
      <c r="B79" s="6" t="s">
        <v>201</v>
      </c>
      <c r="C79" s="6" t="s">
        <v>31</v>
      </c>
      <c r="D79" s="6" t="s">
        <v>26</v>
      </c>
      <c r="E79" s="6" t="s">
        <v>27</v>
      </c>
      <c r="F79" s="6" t="s">
        <v>160</v>
      </c>
      <c r="G79" s="6" t="s">
        <v>197</v>
      </c>
      <c r="H79" s="6" t="s">
        <v>202</v>
      </c>
    </row>
    <row r="80" customFormat="false" ht="15" hidden="false" customHeight="true" outlineLevel="0" collapsed="false">
      <c r="A80" s="6" t="n">
        <v>79</v>
      </c>
      <c r="B80" s="6" t="s">
        <v>203</v>
      </c>
      <c r="C80" s="6" t="s">
        <v>31</v>
      </c>
      <c r="D80" s="6" t="s">
        <v>170</v>
      </c>
      <c r="E80" s="6" t="s">
        <v>27</v>
      </c>
      <c r="F80" s="6" t="s">
        <v>160</v>
      </c>
      <c r="G80" s="6" t="s">
        <v>160</v>
      </c>
      <c r="H80" s="6" t="s">
        <v>204</v>
      </c>
    </row>
    <row r="81" customFormat="false" ht="15" hidden="false" customHeight="true" outlineLevel="0" collapsed="false">
      <c r="A81" s="6" t="n">
        <v>80</v>
      </c>
      <c r="B81" s="6" t="s">
        <v>205</v>
      </c>
      <c r="C81" s="6" t="s">
        <v>25</v>
      </c>
      <c r="D81" s="6" t="s">
        <v>65</v>
      </c>
      <c r="E81" s="6" t="s">
        <v>27</v>
      </c>
      <c r="F81" s="6" t="s">
        <v>160</v>
      </c>
      <c r="G81" s="6" t="s">
        <v>161</v>
      </c>
      <c r="H81" s="6" t="s">
        <v>206</v>
      </c>
    </row>
    <row r="82" customFormat="false" ht="15" hidden="false" customHeight="true" outlineLevel="0" collapsed="false">
      <c r="A82" s="6" t="n">
        <v>81</v>
      </c>
      <c r="B82" s="6" t="s">
        <v>207</v>
      </c>
      <c r="C82" s="6" t="s">
        <v>25</v>
      </c>
      <c r="D82" s="6" t="s">
        <v>159</v>
      </c>
      <c r="E82" s="6" t="s">
        <v>35</v>
      </c>
      <c r="F82" s="6" t="s">
        <v>208</v>
      </c>
      <c r="G82" s="6" t="s">
        <v>208</v>
      </c>
      <c r="H82" s="6" t="s">
        <v>209</v>
      </c>
    </row>
    <row r="83" customFormat="false" ht="23.25" hidden="false" customHeight="true" outlineLevel="0" collapsed="false">
      <c r="A83" s="6" t="n">
        <v>82</v>
      </c>
      <c r="B83" s="6" t="s">
        <v>210</v>
      </c>
      <c r="C83" s="6" t="s">
        <v>25</v>
      </c>
      <c r="D83" s="6" t="s">
        <v>159</v>
      </c>
      <c r="E83" s="6" t="s">
        <v>35</v>
      </c>
      <c r="F83" s="6" t="s">
        <v>208</v>
      </c>
      <c r="G83" s="6" t="s">
        <v>208</v>
      </c>
      <c r="H83" s="6" t="s">
        <v>211</v>
      </c>
    </row>
    <row r="84" customFormat="false" ht="15" hidden="false" customHeight="true" outlineLevel="0" collapsed="false">
      <c r="A84" s="6" t="n">
        <v>83</v>
      </c>
      <c r="B84" s="6" t="s">
        <v>212</v>
      </c>
      <c r="C84" s="6" t="s">
        <v>25</v>
      </c>
      <c r="D84" s="6" t="s">
        <v>26</v>
      </c>
      <c r="E84" s="6" t="s">
        <v>43</v>
      </c>
      <c r="F84" s="6" t="s">
        <v>208</v>
      </c>
      <c r="G84" s="6" t="s">
        <v>208</v>
      </c>
      <c r="H84" s="6" t="s">
        <v>213</v>
      </c>
    </row>
    <row r="85" customFormat="false" ht="15" hidden="false" customHeight="true" outlineLevel="0" collapsed="false">
      <c r="A85" s="6" t="n">
        <v>84</v>
      </c>
      <c r="B85" s="6" t="s">
        <v>214</v>
      </c>
      <c r="C85" s="6" t="s">
        <v>25</v>
      </c>
      <c r="D85" s="6" t="s">
        <v>159</v>
      </c>
      <c r="E85" s="6" t="s">
        <v>35</v>
      </c>
      <c r="F85" s="6" t="s">
        <v>208</v>
      </c>
      <c r="G85" s="6" t="s">
        <v>208</v>
      </c>
      <c r="H85" s="6" t="s">
        <v>215</v>
      </c>
    </row>
    <row r="86" customFormat="false" ht="15" hidden="false" customHeight="true" outlineLevel="0" collapsed="false">
      <c r="A86" s="6" t="n">
        <v>85</v>
      </c>
      <c r="B86" s="6" t="s">
        <v>216</v>
      </c>
      <c r="C86" s="6" t="s">
        <v>25</v>
      </c>
      <c r="D86" s="6" t="s">
        <v>159</v>
      </c>
      <c r="E86" s="6" t="s">
        <v>35</v>
      </c>
      <c r="F86" s="6" t="s">
        <v>208</v>
      </c>
      <c r="G86" s="6" t="s">
        <v>208</v>
      </c>
      <c r="H86" s="6" t="s">
        <v>217</v>
      </c>
    </row>
    <row r="87" customFormat="false" ht="15" hidden="false" customHeight="true" outlineLevel="0" collapsed="false">
      <c r="A87" s="6" t="n">
        <v>86</v>
      </c>
      <c r="B87" s="6" t="s">
        <v>218</v>
      </c>
      <c r="C87" s="6" t="s">
        <v>25</v>
      </c>
      <c r="D87" s="6" t="s">
        <v>159</v>
      </c>
      <c r="E87" s="6" t="s">
        <v>35</v>
      </c>
      <c r="F87" s="6" t="s">
        <v>208</v>
      </c>
      <c r="G87" s="6" t="s">
        <v>208</v>
      </c>
      <c r="H87" s="6" t="s">
        <v>219</v>
      </c>
    </row>
    <row r="88" customFormat="false" ht="15" hidden="false" customHeight="true" outlineLevel="0" collapsed="false">
      <c r="A88" s="6" t="n">
        <v>87</v>
      </c>
      <c r="B88" s="6" t="s">
        <v>220</v>
      </c>
      <c r="C88" s="6" t="s">
        <v>25</v>
      </c>
      <c r="D88" s="6" t="s">
        <v>26</v>
      </c>
      <c r="E88" s="6" t="s">
        <v>43</v>
      </c>
      <c r="F88" s="6" t="s">
        <v>208</v>
      </c>
      <c r="G88" s="6" t="s">
        <v>208</v>
      </c>
      <c r="H88" s="6" t="s">
        <v>221</v>
      </c>
    </row>
    <row r="89" customFormat="false" ht="23.25" hidden="false" customHeight="true" outlineLevel="0" collapsed="false">
      <c r="A89" s="6" t="n">
        <v>88</v>
      </c>
      <c r="B89" s="6" t="s">
        <v>222</v>
      </c>
      <c r="C89" s="6" t="s">
        <v>25</v>
      </c>
      <c r="D89" s="6" t="s">
        <v>159</v>
      </c>
      <c r="E89" s="6" t="s">
        <v>54</v>
      </c>
      <c r="F89" s="6" t="s">
        <v>208</v>
      </c>
      <c r="G89" s="6" t="s">
        <v>223</v>
      </c>
      <c r="H89" s="6" t="s">
        <v>224</v>
      </c>
    </row>
    <row r="90" customFormat="false" ht="15" hidden="false" customHeight="true" outlineLevel="0" collapsed="false">
      <c r="A90" s="6" t="n">
        <v>89</v>
      </c>
      <c r="B90" s="6" t="s">
        <v>225</v>
      </c>
      <c r="C90" s="6" t="s">
        <v>25</v>
      </c>
      <c r="D90" s="6" t="s">
        <v>159</v>
      </c>
      <c r="E90" s="6" t="s">
        <v>35</v>
      </c>
      <c r="F90" s="6" t="s">
        <v>208</v>
      </c>
      <c r="G90" s="6" t="s">
        <v>208</v>
      </c>
      <c r="H90" s="6" t="s">
        <v>226</v>
      </c>
    </row>
    <row r="91" customFormat="false" ht="15" hidden="false" customHeight="true" outlineLevel="0" collapsed="false">
      <c r="A91" s="6" t="n">
        <v>90</v>
      </c>
      <c r="B91" s="6" t="s">
        <v>227</v>
      </c>
      <c r="C91" s="6" t="s">
        <v>31</v>
      </c>
      <c r="D91" s="6" t="s">
        <v>159</v>
      </c>
      <c r="E91" s="6" t="s">
        <v>106</v>
      </c>
      <c r="F91" s="6" t="s">
        <v>208</v>
      </c>
      <c r="G91" s="6" t="s">
        <v>208</v>
      </c>
      <c r="H91" s="6" t="s">
        <v>228</v>
      </c>
    </row>
    <row r="92" customFormat="false" ht="15" hidden="false" customHeight="true" outlineLevel="0" collapsed="false">
      <c r="A92" s="6" t="n">
        <v>91</v>
      </c>
      <c r="B92" s="6" t="s">
        <v>229</v>
      </c>
      <c r="C92" s="6" t="s">
        <v>31</v>
      </c>
      <c r="D92" s="6" t="s">
        <v>159</v>
      </c>
      <c r="E92" s="6" t="s">
        <v>27</v>
      </c>
      <c r="F92" s="6" t="s">
        <v>208</v>
      </c>
      <c r="G92" s="6" t="s">
        <v>208</v>
      </c>
      <c r="H92" s="6" t="s">
        <v>230</v>
      </c>
    </row>
  </sheetData>
  <autoFilter ref="A1:H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5"/>
    <col collapsed="false" customWidth="true" hidden="false" outlineLevel="0" max="8" min="4" style="1" width="7"/>
    <col collapsed="false" customWidth="true" hidden="false" outlineLevel="0" max="9" min="9" style="1" width="10"/>
  </cols>
  <sheetData>
    <row r="1" customFormat="false" ht="15" hidden="false" customHeight="true" outlineLevel="0" collapsed="false">
      <c r="A1" s="5" t="s">
        <v>16</v>
      </c>
      <c r="B1" s="5" t="s">
        <v>17</v>
      </c>
      <c r="C1" s="5" t="s">
        <v>20</v>
      </c>
      <c r="D1" s="5" t="s">
        <v>231</v>
      </c>
      <c r="E1" s="5" t="s">
        <v>232</v>
      </c>
      <c r="F1" s="5" t="s">
        <v>233</v>
      </c>
      <c r="G1" s="5" t="s">
        <v>234</v>
      </c>
      <c r="H1" s="5" t="s">
        <v>235</v>
      </c>
      <c r="I1" s="5" t="s">
        <v>236</v>
      </c>
    </row>
    <row r="2" customFormat="false" ht="15" hidden="false" customHeight="true" outlineLevel="0" collapsed="false">
      <c r="A2" s="6" t="n">
        <v>1</v>
      </c>
      <c r="B2" s="6" t="s">
        <v>24</v>
      </c>
      <c r="C2" s="6" t="s">
        <v>27</v>
      </c>
      <c r="D2" s="6" t="s">
        <v>237</v>
      </c>
      <c r="E2" s="6" t="s">
        <v>237</v>
      </c>
      <c r="F2" s="6" t="s">
        <v>237</v>
      </c>
      <c r="G2" s="6" t="s">
        <v>238</v>
      </c>
      <c r="H2" s="6" t="s">
        <v>237</v>
      </c>
      <c r="I2" s="6" t="n">
        <f aca="false">COUNTIF(D2:H2,"Y")</f>
        <v>4</v>
      </c>
    </row>
    <row r="3" customFormat="false" ht="15" hidden="false" customHeight="true" outlineLevel="0" collapsed="false">
      <c r="A3" s="6" t="n">
        <v>2</v>
      </c>
      <c r="B3" s="6" t="s">
        <v>30</v>
      </c>
      <c r="C3" s="6" t="s">
        <v>27</v>
      </c>
      <c r="D3" s="6" t="s">
        <v>237</v>
      </c>
      <c r="E3" s="6" t="s">
        <v>237</v>
      </c>
      <c r="F3" s="6" t="s">
        <v>237</v>
      </c>
      <c r="G3" s="6" t="s">
        <v>238</v>
      </c>
      <c r="H3" s="6" t="s">
        <v>237</v>
      </c>
      <c r="I3" s="6" t="n">
        <f aca="false">COUNTIF(D3:H3,"Y")</f>
        <v>4</v>
      </c>
    </row>
    <row r="4" customFormat="false" ht="15" hidden="false" customHeight="true" outlineLevel="0" collapsed="false">
      <c r="A4" s="6" t="n">
        <v>3</v>
      </c>
      <c r="B4" s="6" t="s">
        <v>33</v>
      </c>
      <c r="C4" s="6" t="s">
        <v>35</v>
      </c>
      <c r="D4" s="6" t="s">
        <v>237</v>
      </c>
      <c r="E4" s="6" t="s">
        <v>237</v>
      </c>
      <c r="F4" s="6" t="s">
        <v>237</v>
      </c>
      <c r="G4" s="6" t="s">
        <v>237</v>
      </c>
      <c r="H4" s="6" t="s">
        <v>237</v>
      </c>
      <c r="I4" s="6" t="n">
        <f aca="false">COUNTIF(D4:H4,"Y")</f>
        <v>5</v>
      </c>
    </row>
    <row r="5" customFormat="false" ht="15" hidden="false" customHeight="true" outlineLevel="0" collapsed="false">
      <c r="A5" s="6" t="n">
        <v>4</v>
      </c>
      <c r="B5" s="6" t="s">
        <v>37</v>
      </c>
      <c r="C5" s="6" t="s">
        <v>27</v>
      </c>
      <c r="D5" s="6" t="s">
        <v>237</v>
      </c>
      <c r="E5" s="6" t="s">
        <v>237</v>
      </c>
      <c r="F5" s="6" t="s">
        <v>237</v>
      </c>
      <c r="G5" s="6" t="s">
        <v>238</v>
      </c>
      <c r="H5" s="6" t="s">
        <v>237</v>
      </c>
      <c r="I5" s="6" t="n">
        <f aca="false">COUNTIF(D5:H5,"Y")</f>
        <v>4</v>
      </c>
    </row>
    <row r="6" customFormat="false" ht="15" hidden="false" customHeight="true" outlineLevel="0" collapsed="false">
      <c r="A6" s="6" t="n">
        <v>5</v>
      </c>
      <c r="B6" s="6" t="s">
        <v>40</v>
      </c>
      <c r="C6" s="6" t="s">
        <v>27</v>
      </c>
      <c r="D6" s="6" t="s">
        <v>237</v>
      </c>
      <c r="E6" s="6" t="s">
        <v>237</v>
      </c>
      <c r="F6" s="6" t="s">
        <v>237</v>
      </c>
      <c r="G6" s="6" t="s">
        <v>238</v>
      </c>
      <c r="H6" s="6" t="s">
        <v>237</v>
      </c>
      <c r="I6" s="6" t="n">
        <f aca="false">COUNTIF(D6:H6,"Y")</f>
        <v>4</v>
      </c>
    </row>
    <row r="7" customFormat="false" ht="15" hidden="false" customHeight="true" outlineLevel="0" collapsed="false">
      <c r="A7" s="6" t="n">
        <v>6</v>
      </c>
      <c r="B7" s="6" t="s">
        <v>42</v>
      </c>
      <c r="C7" s="6" t="s">
        <v>43</v>
      </c>
      <c r="D7" s="6" t="s">
        <v>237</v>
      </c>
      <c r="E7" s="6" t="s">
        <v>238</v>
      </c>
      <c r="F7" s="6" t="s">
        <v>237</v>
      </c>
      <c r="G7" s="6" t="s">
        <v>238</v>
      </c>
      <c r="H7" s="6" t="s">
        <v>237</v>
      </c>
      <c r="I7" s="6" t="n">
        <f aca="false">COUNTIF(D7:H7,"Y")</f>
        <v>3</v>
      </c>
    </row>
    <row r="8" customFormat="false" ht="15" hidden="false" customHeight="true" outlineLevel="0" collapsed="false">
      <c r="A8" s="6" t="n">
        <v>7</v>
      </c>
      <c r="B8" s="6" t="s">
        <v>45</v>
      </c>
      <c r="C8" s="6" t="s">
        <v>27</v>
      </c>
      <c r="D8" s="6" t="s">
        <v>237</v>
      </c>
      <c r="E8" s="6" t="s">
        <v>237</v>
      </c>
      <c r="F8" s="6" t="s">
        <v>237</v>
      </c>
      <c r="G8" s="6" t="s">
        <v>238</v>
      </c>
      <c r="H8" s="6" t="s">
        <v>237</v>
      </c>
      <c r="I8" s="6" t="n">
        <f aca="false">COUNTIF(D8:H8,"Y")</f>
        <v>4</v>
      </c>
    </row>
    <row r="9" customFormat="false" ht="15" hidden="false" customHeight="true" outlineLevel="0" collapsed="false">
      <c r="A9" s="6" t="n">
        <v>8</v>
      </c>
      <c r="B9" s="6" t="s">
        <v>47</v>
      </c>
      <c r="C9" s="6" t="s">
        <v>27</v>
      </c>
      <c r="D9" s="6" t="s">
        <v>237</v>
      </c>
      <c r="E9" s="6" t="s">
        <v>237</v>
      </c>
      <c r="F9" s="6" t="s">
        <v>237</v>
      </c>
      <c r="G9" s="6" t="s">
        <v>238</v>
      </c>
      <c r="H9" s="6" t="s">
        <v>237</v>
      </c>
      <c r="I9" s="6" t="n">
        <f aca="false">COUNTIF(D9:H9,"Y")</f>
        <v>4</v>
      </c>
    </row>
    <row r="10" customFormat="false" ht="15" hidden="false" customHeight="true" outlineLevel="0" collapsed="false">
      <c r="A10" s="6" t="n">
        <v>9</v>
      </c>
      <c r="B10" s="6" t="s">
        <v>49</v>
      </c>
      <c r="C10" s="6" t="s">
        <v>27</v>
      </c>
      <c r="D10" s="6" t="s">
        <v>237</v>
      </c>
      <c r="E10" s="6" t="s">
        <v>237</v>
      </c>
      <c r="F10" s="6" t="s">
        <v>237</v>
      </c>
      <c r="G10" s="6" t="s">
        <v>238</v>
      </c>
      <c r="H10" s="6" t="s">
        <v>237</v>
      </c>
      <c r="I10" s="6" t="n">
        <f aca="false">COUNTIF(D10:H10,"Y")</f>
        <v>4</v>
      </c>
    </row>
    <row r="11" customFormat="false" ht="15" hidden="false" customHeight="true" outlineLevel="0" collapsed="false">
      <c r="A11" s="6" t="n">
        <v>10</v>
      </c>
      <c r="B11" s="6" t="s">
        <v>51</v>
      </c>
      <c r="C11" s="6" t="s">
        <v>27</v>
      </c>
      <c r="D11" s="6" t="s">
        <v>237</v>
      </c>
      <c r="E11" s="6" t="s">
        <v>237</v>
      </c>
      <c r="F11" s="6" t="s">
        <v>237</v>
      </c>
      <c r="G11" s="6" t="s">
        <v>238</v>
      </c>
      <c r="H11" s="6" t="s">
        <v>237</v>
      </c>
      <c r="I11" s="6" t="n">
        <f aca="false">COUNTIF(D11:H11,"Y")</f>
        <v>4</v>
      </c>
    </row>
    <row r="12" customFormat="false" ht="15" hidden="false" customHeight="true" outlineLevel="0" collapsed="false">
      <c r="A12" s="6" t="n">
        <v>11</v>
      </c>
      <c r="B12" s="6" t="s">
        <v>53</v>
      </c>
      <c r="C12" s="6" t="s">
        <v>54</v>
      </c>
      <c r="D12" s="6" t="s">
        <v>237</v>
      </c>
      <c r="E12" s="6" t="s">
        <v>237</v>
      </c>
      <c r="F12" s="6" t="s">
        <v>237</v>
      </c>
      <c r="G12" s="6" t="s">
        <v>237</v>
      </c>
      <c r="H12" s="6" t="s">
        <v>237</v>
      </c>
      <c r="I12" s="6" t="n">
        <f aca="false">COUNTIF(D12:H12,"Y")</f>
        <v>5</v>
      </c>
    </row>
    <row r="13" customFormat="false" ht="15" hidden="false" customHeight="true" outlineLevel="0" collapsed="false">
      <c r="A13" s="6" t="n">
        <v>12</v>
      </c>
      <c r="B13" s="6" t="s">
        <v>56</v>
      </c>
      <c r="C13" s="6" t="s">
        <v>54</v>
      </c>
      <c r="D13" s="6" t="s">
        <v>237</v>
      </c>
      <c r="E13" s="6" t="s">
        <v>237</v>
      </c>
      <c r="F13" s="6" t="s">
        <v>237</v>
      </c>
      <c r="G13" s="6" t="s">
        <v>237</v>
      </c>
      <c r="H13" s="6" t="s">
        <v>237</v>
      </c>
      <c r="I13" s="6" t="n">
        <f aca="false">COUNTIF(D13:H13,"Y")</f>
        <v>5</v>
      </c>
    </row>
    <row r="14" customFormat="false" ht="15" hidden="false" customHeight="true" outlineLevel="0" collapsed="false">
      <c r="A14" s="6" t="n">
        <v>13</v>
      </c>
      <c r="B14" s="6" t="s">
        <v>58</v>
      </c>
      <c r="C14" s="6" t="s">
        <v>27</v>
      </c>
      <c r="D14" s="6" t="s">
        <v>237</v>
      </c>
      <c r="E14" s="6" t="s">
        <v>237</v>
      </c>
      <c r="F14" s="6" t="s">
        <v>237</v>
      </c>
      <c r="G14" s="6" t="s">
        <v>238</v>
      </c>
      <c r="H14" s="6" t="s">
        <v>237</v>
      </c>
      <c r="I14" s="6" t="n">
        <f aca="false">COUNTIF(D14:H14,"Y")</f>
        <v>4</v>
      </c>
    </row>
    <row r="15" customFormat="false" ht="15" hidden="false" customHeight="true" outlineLevel="0" collapsed="false">
      <c r="A15" s="6" t="n">
        <v>14</v>
      </c>
      <c r="B15" s="6" t="s">
        <v>60</v>
      </c>
      <c r="C15" s="6" t="s">
        <v>27</v>
      </c>
      <c r="D15" s="6" t="s">
        <v>238</v>
      </c>
      <c r="E15" s="6" t="s">
        <v>237</v>
      </c>
      <c r="F15" s="6" t="s">
        <v>237</v>
      </c>
      <c r="G15" s="6" t="s">
        <v>237</v>
      </c>
      <c r="H15" s="6" t="s">
        <v>237</v>
      </c>
      <c r="I15" s="6" t="n">
        <f aca="false">COUNTIF(D15:H15,"Y")</f>
        <v>4</v>
      </c>
    </row>
    <row r="16" customFormat="false" ht="15" hidden="false" customHeight="true" outlineLevel="0" collapsed="false">
      <c r="A16" s="6" t="n">
        <v>15</v>
      </c>
      <c r="B16" s="6" t="s">
        <v>62</v>
      </c>
      <c r="C16" s="6" t="s">
        <v>43</v>
      </c>
      <c r="D16" s="6" t="s">
        <v>237</v>
      </c>
      <c r="E16" s="6" t="s">
        <v>238</v>
      </c>
      <c r="F16" s="6" t="s">
        <v>237</v>
      </c>
      <c r="G16" s="6" t="s">
        <v>238</v>
      </c>
      <c r="H16" s="6" t="s">
        <v>237</v>
      </c>
      <c r="I16" s="6" t="n">
        <f aca="false">COUNTIF(D16:H16,"Y")</f>
        <v>3</v>
      </c>
    </row>
    <row r="17" customFormat="false" ht="15" hidden="false" customHeight="true" outlineLevel="0" collapsed="false">
      <c r="A17" s="6" t="n">
        <v>16</v>
      </c>
      <c r="B17" s="6" t="s">
        <v>64</v>
      </c>
      <c r="C17" s="6" t="s">
        <v>43</v>
      </c>
      <c r="D17" s="6" t="s">
        <v>237</v>
      </c>
      <c r="E17" s="6" t="s">
        <v>238</v>
      </c>
      <c r="F17" s="6" t="s">
        <v>237</v>
      </c>
      <c r="G17" s="6" t="s">
        <v>238</v>
      </c>
      <c r="H17" s="6" t="s">
        <v>237</v>
      </c>
      <c r="I17" s="6" t="n">
        <f aca="false">COUNTIF(D17:H17,"Y")</f>
        <v>3</v>
      </c>
    </row>
    <row r="18" customFormat="false" ht="15" hidden="false" customHeight="true" outlineLevel="0" collapsed="false">
      <c r="A18" s="6" t="n">
        <v>17</v>
      </c>
      <c r="B18" s="6" t="s">
        <v>68</v>
      </c>
      <c r="C18" s="6" t="s">
        <v>43</v>
      </c>
      <c r="D18" s="6" t="s">
        <v>237</v>
      </c>
      <c r="E18" s="6" t="s">
        <v>238</v>
      </c>
      <c r="F18" s="6" t="s">
        <v>237</v>
      </c>
      <c r="G18" s="6" t="s">
        <v>238</v>
      </c>
      <c r="H18" s="6" t="s">
        <v>237</v>
      </c>
      <c r="I18" s="6" t="n">
        <f aca="false">COUNTIF(D18:H18,"Y")</f>
        <v>3</v>
      </c>
    </row>
    <row r="19" customFormat="false" ht="15" hidden="false" customHeight="true" outlineLevel="0" collapsed="false">
      <c r="A19" s="6" t="n">
        <v>18</v>
      </c>
      <c r="B19" s="6" t="s">
        <v>70</v>
      </c>
      <c r="C19" s="6" t="s">
        <v>27</v>
      </c>
      <c r="D19" s="6" t="s">
        <v>237</v>
      </c>
      <c r="E19" s="6" t="s">
        <v>237</v>
      </c>
      <c r="F19" s="6" t="s">
        <v>237</v>
      </c>
      <c r="G19" s="6" t="s">
        <v>238</v>
      </c>
      <c r="H19" s="6" t="s">
        <v>237</v>
      </c>
      <c r="I19" s="6" t="n">
        <f aca="false">COUNTIF(D19:H19,"Y")</f>
        <v>4</v>
      </c>
    </row>
    <row r="20" customFormat="false" ht="15" hidden="false" customHeight="true" outlineLevel="0" collapsed="false">
      <c r="A20" s="6" t="n">
        <v>19</v>
      </c>
      <c r="B20" s="6" t="s">
        <v>72</v>
      </c>
      <c r="C20" s="6" t="s">
        <v>27</v>
      </c>
      <c r="D20" s="6" t="s">
        <v>237</v>
      </c>
      <c r="E20" s="6" t="s">
        <v>237</v>
      </c>
      <c r="F20" s="6" t="s">
        <v>237</v>
      </c>
      <c r="G20" s="6" t="s">
        <v>238</v>
      </c>
      <c r="H20" s="6" t="s">
        <v>237</v>
      </c>
      <c r="I20" s="6" t="n">
        <f aca="false">COUNTIF(D20:H20,"Y")</f>
        <v>4</v>
      </c>
    </row>
    <row r="21" customFormat="false" ht="15" hidden="false" customHeight="true" outlineLevel="0" collapsed="false">
      <c r="A21" s="6" t="n">
        <v>20</v>
      </c>
      <c r="B21" s="6" t="s">
        <v>74</v>
      </c>
      <c r="C21" s="6" t="s">
        <v>27</v>
      </c>
      <c r="D21" s="6" t="s">
        <v>237</v>
      </c>
      <c r="E21" s="6" t="s">
        <v>237</v>
      </c>
      <c r="F21" s="6" t="s">
        <v>237</v>
      </c>
      <c r="G21" s="6" t="s">
        <v>238</v>
      </c>
      <c r="H21" s="6" t="s">
        <v>237</v>
      </c>
      <c r="I21" s="6" t="n">
        <f aca="false">COUNTIF(D21:H21,"Y")</f>
        <v>4</v>
      </c>
    </row>
    <row r="22" customFormat="false" ht="15" hidden="false" customHeight="true" outlineLevel="0" collapsed="false">
      <c r="A22" s="6" t="n">
        <v>21</v>
      </c>
      <c r="B22" s="6" t="s">
        <v>76</v>
      </c>
      <c r="C22" s="6" t="s">
        <v>35</v>
      </c>
      <c r="D22" s="6" t="s">
        <v>237</v>
      </c>
      <c r="E22" s="6" t="s">
        <v>237</v>
      </c>
      <c r="F22" s="6" t="s">
        <v>237</v>
      </c>
      <c r="G22" s="6" t="s">
        <v>237</v>
      </c>
      <c r="H22" s="6" t="s">
        <v>237</v>
      </c>
      <c r="I22" s="6" t="n">
        <f aca="false">COUNTIF(D22:H22,"Y")</f>
        <v>5</v>
      </c>
    </row>
    <row r="23" customFormat="false" ht="15" hidden="false" customHeight="true" outlineLevel="0" collapsed="false">
      <c r="A23" s="6" t="n">
        <v>22</v>
      </c>
      <c r="B23" s="6" t="s">
        <v>78</v>
      </c>
      <c r="C23" s="6" t="s">
        <v>54</v>
      </c>
      <c r="D23" s="6" t="s">
        <v>237</v>
      </c>
      <c r="E23" s="6" t="s">
        <v>237</v>
      </c>
      <c r="F23" s="6" t="s">
        <v>237</v>
      </c>
      <c r="G23" s="6" t="s">
        <v>238</v>
      </c>
      <c r="H23" s="6" t="s">
        <v>237</v>
      </c>
      <c r="I23" s="6" t="n">
        <f aca="false">COUNTIF(D23:H23,"Y")</f>
        <v>4</v>
      </c>
    </row>
    <row r="24" customFormat="false" ht="15" hidden="false" customHeight="true" outlineLevel="0" collapsed="false">
      <c r="A24" s="6" t="n">
        <v>23</v>
      </c>
      <c r="B24" s="6" t="s">
        <v>80</v>
      </c>
      <c r="C24" s="6" t="s">
        <v>27</v>
      </c>
      <c r="D24" s="6" t="s">
        <v>237</v>
      </c>
      <c r="E24" s="6" t="s">
        <v>237</v>
      </c>
      <c r="F24" s="6" t="s">
        <v>237</v>
      </c>
      <c r="G24" s="6" t="s">
        <v>238</v>
      </c>
      <c r="H24" s="6" t="s">
        <v>237</v>
      </c>
      <c r="I24" s="6" t="n">
        <f aca="false">COUNTIF(D24:H24,"Y")</f>
        <v>4</v>
      </c>
    </row>
    <row r="25" customFormat="false" ht="15" hidden="false" customHeight="true" outlineLevel="0" collapsed="false">
      <c r="A25" s="6" t="n">
        <v>24</v>
      </c>
      <c r="B25" s="6" t="s">
        <v>82</v>
      </c>
      <c r="C25" s="6" t="s">
        <v>27</v>
      </c>
      <c r="D25" s="6" t="s">
        <v>237</v>
      </c>
      <c r="E25" s="6" t="s">
        <v>237</v>
      </c>
      <c r="F25" s="6" t="s">
        <v>237</v>
      </c>
      <c r="G25" s="6" t="s">
        <v>238</v>
      </c>
      <c r="H25" s="6" t="s">
        <v>237</v>
      </c>
      <c r="I25" s="6" t="n">
        <f aca="false">COUNTIF(D25:H25,"Y")</f>
        <v>4</v>
      </c>
    </row>
    <row r="26" customFormat="false" ht="15" hidden="false" customHeight="true" outlineLevel="0" collapsed="false">
      <c r="A26" s="6" t="n">
        <v>25</v>
      </c>
      <c r="B26" s="6" t="s">
        <v>84</v>
      </c>
      <c r="C26" s="6" t="s">
        <v>27</v>
      </c>
      <c r="D26" s="6" t="s">
        <v>237</v>
      </c>
      <c r="E26" s="6" t="s">
        <v>237</v>
      </c>
      <c r="F26" s="6" t="s">
        <v>237</v>
      </c>
      <c r="G26" s="6" t="s">
        <v>238</v>
      </c>
      <c r="H26" s="6" t="s">
        <v>237</v>
      </c>
      <c r="I26" s="6" t="n">
        <f aca="false">COUNTIF(D26:H26,"Y")</f>
        <v>4</v>
      </c>
    </row>
    <row r="27" customFormat="false" ht="15" hidden="false" customHeight="true" outlineLevel="0" collapsed="false">
      <c r="A27" s="6" t="n">
        <v>26</v>
      </c>
      <c r="B27" s="6" t="s">
        <v>86</v>
      </c>
      <c r="C27" s="6" t="s">
        <v>27</v>
      </c>
      <c r="D27" s="6" t="s">
        <v>237</v>
      </c>
      <c r="E27" s="6" t="s">
        <v>237</v>
      </c>
      <c r="F27" s="6" t="s">
        <v>237</v>
      </c>
      <c r="G27" s="6" t="s">
        <v>238</v>
      </c>
      <c r="H27" s="6" t="s">
        <v>237</v>
      </c>
      <c r="I27" s="6" t="n">
        <f aca="false">COUNTIF(D27:H27,"Y")</f>
        <v>4</v>
      </c>
    </row>
    <row r="28" customFormat="false" ht="15" hidden="false" customHeight="true" outlineLevel="0" collapsed="false">
      <c r="A28" s="6" t="n">
        <v>27</v>
      </c>
      <c r="B28" s="6" t="s">
        <v>88</v>
      </c>
      <c r="C28" s="6" t="s">
        <v>27</v>
      </c>
      <c r="D28" s="6" t="s">
        <v>238</v>
      </c>
      <c r="E28" s="6" t="s">
        <v>237</v>
      </c>
      <c r="F28" s="6" t="s">
        <v>237</v>
      </c>
      <c r="G28" s="6" t="s">
        <v>237</v>
      </c>
      <c r="H28" s="6" t="s">
        <v>237</v>
      </c>
      <c r="I28" s="6" t="n">
        <f aca="false">COUNTIF(D28:H28,"Y")</f>
        <v>4</v>
      </c>
    </row>
    <row r="29" customFormat="false" ht="15" hidden="false" customHeight="true" outlineLevel="0" collapsed="false">
      <c r="A29" s="6" t="n">
        <v>28</v>
      </c>
      <c r="B29" s="6" t="s">
        <v>90</v>
      </c>
      <c r="C29" s="6" t="s">
        <v>43</v>
      </c>
      <c r="D29" s="6" t="s">
        <v>237</v>
      </c>
      <c r="E29" s="6" t="s">
        <v>238</v>
      </c>
      <c r="F29" s="6" t="s">
        <v>237</v>
      </c>
      <c r="G29" s="6" t="s">
        <v>238</v>
      </c>
      <c r="H29" s="6" t="s">
        <v>237</v>
      </c>
      <c r="I29" s="6" t="n">
        <f aca="false">COUNTIF(D29:H29,"Y")</f>
        <v>3</v>
      </c>
    </row>
    <row r="30" customFormat="false" ht="15" hidden="false" customHeight="true" outlineLevel="0" collapsed="false">
      <c r="A30" s="6" t="n">
        <v>29</v>
      </c>
      <c r="B30" s="6" t="s">
        <v>93</v>
      </c>
      <c r="C30" s="6" t="s">
        <v>43</v>
      </c>
      <c r="D30" s="6" t="s">
        <v>237</v>
      </c>
      <c r="E30" s="6" t="s">
        <v>238</v>
      </c>
      <c r="F30" s="6" t="s">
        <v>237</v>
      </c>
      <c r="G30" s="6" t="s">
        <v>238</v>
      </c>
      <c r="H30" s="6" t="s">
        <v>237</v>
      </c>
      <c r="I30" s="6" t="n">
        <f aca="false">COUNTIF(D30:H30,"Y")</f>
        <v>3</v>
      </c>
    </row>
    <row r="31" customFormat="false" ht="15" hidden="false" customHeight="true" outlineLevel="0" collapsed="false">
      <c r="A31" s="6" t="n">
        <v>30</v>
      </c>
      <c r="B31" s="6" t="s">
        <v>95</v>
      </c>
      <c r="C31" s="6" t="s">
        <v>27</v>
      </c>
      <c r="D31" s="6" t="s">
        <v>237</v>
      </c>
      <c r="E31" s="6" t="s">
        <v>237</v>
      </c>
      <c r="F31" s="6" t="s">
        <v>237</v>
      </c>
      <c r="G31" s="6" t="s">
        <v>238</v>
      </c>
      <c r="H31" s="6" t="s">
        <v>237</v>
      </c>
      <c r="I31" s="6" t="n">
        <f aca="false">COUNTIF(D31:H31,"Y")</f>
        <v>4</v>
      </c>
    </row>
    <row r="32" customFormat="false" ht="15" hidden="false" customHeight="true" outlineLevel="0" collapsed="false">
      <c r="A32" s="6" t="n">
        <v>31</v>
      </c>
      <c r="B32" s="6" t="s">
        <v>97</v>
      </c>
      <c r="C32" s="6" t="s">
        <v>27</v>
      </c>
      <c r="D32" s="6" t="s">
        <v>237</v>
      </c>
      <c r="E32" s="6" t="s">
        <v>237</v>
      </c>
      <c r="F32" s="6" t="s">
        <v>237</v>
      </c>
      <c r="G32" s="6" t="s">
        <v>238</v>
      </c>
      <c r="H32" s="6" t="s">
        <v>237</v>
      </c>
      <c r="I32" s="6" t="n">
        <f aca="false">COUNTIF(D32:H32,"Y")</f>
        <v>4</v>
      </c>
    </row>
    <row r="33" customFormat="false" ht="15" hidden="false" customHeight="true" outlineLevel="0" collapsed="false">
      <c r="A33" s="6" t="n">
        <v>32</v>
      </c>
      <c r="B33" s="6" t="s">
        <v>99</v>
      </c>
      <c r="C33" s="6" t="s">
        <v>27</v>
      </c>
      <c r="D33" s="6" t="s">
        <v>237</v>
      </c>
      <c r="E33" s="6" t="s">
        <v>237</v>
      </c>
      <c r="F33" s="6" t="s">
        <v>237</v>
      </c>
      <c r="G33" s="6" t="s">
        <v>238</v>
      </c>
      <c r="H33" s="6" t="s">
        <v>237</v>
      </c>
      <c r="I33" s="6" t="n">
        <f aca="false">COUNTIF(D33:H33,"Y")</f>
        <v>4</v>
      </c>
    </row>
    <row r="34" customFormat="false" ht="15" hidden="false" customHeight="true" outlineLevel="0" collapsed="false">
      <c r="A34" s="6" t="n">
        <v>33</v>
      </c>
      <c r="B34" s="6" t="s">
        <v>101</v>
      </c>
      <c r="C34" s="6" t="s">
        <v>35</v>
      </c>
      <c r="D34" s="6" t="s">
        <v>237</v>
      </c>
      <c r="E34" s="6" t="s">
        <v>237</v>
      </c>
      <c r="F34" s="6" t="s">
        <v>237</v>
      </c>
      <c r="G34" s="6" t="s">
        <v>237</v>
      </c>
      <c r="H34" s="6" t="s">
        <v>237</v>
      </c>
      <c r="I34" s="6" t="n">
        <f aca="false">COUNTIF(D34:H34,"Y")</f>
        <v>5</v>
      </c>
    </row>
    <row r="35" customFormat="false" ht="15" hidden="false" customHeight="true" outlineLevel="0" collapsed="false">
      <c r="A35" s="6" t="n">
        <v>34</v>
      </c>
      <c r="B35" s="6" t="s">
        <v>103</v>
      </c>
      <c r="C35" s="6" t="s">
        <v>27</v>
      </c>
      <c r="D35" s="6" t="s">
        <v>237</v>
      </c>
      <c r="E35" s="6" t="s">
        <v>237</v>
      </c>
      <c r="F35" s="6" t="s">
        <v>237</v>
      </c>
      <c r="G35" s="6" t="s">
        <v>238</v>
      </c>
      <c r="H35" s="6" t="s">
        <v>237</v>
      </c>
      <c r="I35" s="6" t="n">
        <f aca="false">COUNTIF(D35:H35,"Y")</f>
        <v>4</v>
      </c>
    </row>
    <row r="36" customFormat="false" ht="15" hidden="false" customHeight="true" outlineLevel="0" collapsed="false">
      <c r="A36" s="6" t="n">
        <v>35</v>
      </c>
      <c r="B36" s="6" t="s">
        <v>105</v>
      </c>
      <c r="C36" s="6" t="s">
        <v>106</v>
      </c>
      <c r="D36" s="6" t="s">
        <v>237</v>
      </c>
      <c r="E36" s="6" t="s">
        <v>237</v>
      </c>
      <c r="F36" s="6" t="s">
        <v>237</v>
      </c>
      <c r="G36" s="6" t="s">
        <v>237</v>
      </c>
      <c r="H36" s="6" t="s">
        <v>237</v>
      </c>
      <c r="I36" s="6" t="n">
        <f aca="false">COUNTIF(D36:H36,"Y")</f>
        <v>5</v>
      </c>
    </row>
    <row r="37" customFormat="false" ht="15" hidden="false" customHeight="true" outlineLevel="0" collapsed="false">
      <c r="A37" s="6" t="n">
        <v>36</v>
      </c>
      <c r="B37" s="6" t="s">
        <v>108</v>
      </c>
      <c r="C37" s="6" t="s">
        <v>27</v>
      </c>
      <c r="D37" s="6" t="s">
        <v>237</v>
      </c>
      <c r="E37" s="6" t="s">
        <v>237</v>
      </c>
      <c r="F37" s="6" t="s">
        <v>237</v>
      </c>
      <c r="G37" s="6" t="s">
        <v>238</v>
      </c>
      <c r="H37" s="6" t="s">
        <v>237</v>
      </c>
      <c r="I37" s="6" t="n">
        <f aca="false">COUNTIF(D37:H37,"Y")</f>
        <v>4</v>
      </c>
    </row>
    <row r="38" customFormat="false" ht="15" hidden="false" customHeight="true" outlineLevel="0" collapsed="false">
      <c r="A38" s="6" t="n">
        <v>37</v>
      </c>
      <c r="B38" s="6" t="s">
        <v>111</v>
      </c>
      <c r="C38" s="6" t="s">
        <v>35</v>
      </c>
      <c r="D38" s="6" t="s">
        <v>237</v>
      </c>
      <c r="E38" s="6" t="s">
        <v>237</v>
      </c>
      <c r="F38" s="6" t="s">
        <v>237</v>
      </c>
      <c r="G38" s="6" t="s">
        <v>237</v>
      </c>
      <c r="H38" s="6" t="s">
        <v>237</v>
      </c>
      <c r="I38" s="6" t="n">
        <f aca="false">COUNTIF(D38:H38,"Y")</f>
        <v>5</v>
      </c>
    </row>
    <row r="39" customFormat="false" ht="15" hidden="false" customHeight="true" outlineLevel="0" collapsed="false">
      <c r="A39" s="6" t="n">
        <v>38</v>
      </c>
      <c r="B39" s="6" t="s">
        <v>113</v>
      </c>
      <c r="C39" s="6" t="s">
        <v>43</v>
      </c>
      <c r="D39" s="6" t="s">
        <v>237</v>
      </c>
      <c r="E39" s="6" t="s">
        <v>238</v>
      </c>
      <c r="F39" s="6" t="s">
        <v>237</v>
      </c>
      <c r="G39" s="6" t="s">
        <v>238</v>
      </c>
      <c r="H39" s="6" t="s">
        <v>237</v>
      </c>
      <c r="I39" s="6" t="n">
        <f aca="false">COUNTIF(D39:H39,"Y")</f>
        <v>3</v>
      </c>
    </row>
    <row r="40" customFormat="false" ht="15" hidden="false" customHeight="true" outlineLevel="0" collapsed="false">
      <c r="A40" s="6" t="n">
        <v>39</v>
      </c>
      <c r="B40" s="6" t="s">
        <v>116</v>
      </c>
      <c r="C40" s="6" t="s">
        <v>54</v>
      </c>
      <c r="D40" s="6" t="s">
        <v>237</v>
      </c>
      <c r="E40" s="6" t="s">
        <v>237</v>
      </c>
      <c r="F40" s="6" t="s">
        <v>237</v>
      </c>
      <c r="G40" s="6" t="s">
        <v>237</v>
      </c>
      <c r="H40" s="6" t="s">
        <v>237</v>
      </c>
      <c r="I40" s="6" t="n">
        <f aca="false">COUNTIF(D40:H40,"Y")</f>
        <v>5</v>
      </c>
    </row>
    <row r="41" customFormat="false" ht="15" hidden="false" customHeight="true" outlineLevel="0" collapsed="false">
      <c r="A41" s="6" t="n">
        <v>40</v>
      </c>
      <c r="B41" s="6" t="s">
        <v>118</v>
      </c>
      <c r="C41" s="6" t="s">
        <v>54</v>
      </c>
      <c r="D41" s="6" t="s">
        <v>237</v>
      </c>
      <c r="E41" s="6" t="s">
        <v>237</v>
      </c>
      <c r="F41" s="6" t="s">
        <v>237</v>
      </c>
      <c r="G41" s="6" t="s">
        <v>237</v>
      </c>
      <c r="H41" s="6" t="s">
        <v>237</v>
      </c>
      <c r="I41" s="6" t="n">
        <f aca="false">COUNTIF(D41:H41,"Y")</f>
        <v>5</v>
      </c>
    </row>
    <row r="42" customFormat="false" ht="15" hidden="false" customHeight="true" outlineLevel="0" collapsed="false">
      <c r="A42" s="6" t="n">
        <v>41</v>
      </c>
      <c r="B42" s="6" t="s">
        <v>120</v>
      </c>
      <c r="C42" s="6" t="s">
        <v>54</v>
      </c>
      <c r="D42" s="6" t="s">
        <v>237</v>
      </c>
      <c r="E42" s="6" t="s">
        <v>237</v>
      </c>
      <c r="F42" s="6" t="s">
        <v>237</v>
      </c>
      <c r="G42" s="6" t="s">
        <v>237</v>
      </c>
      <c r="H42" s="6" t="s">
        <v>237</v>
      </c>
      <c r="I42" s="6" t="n">
        <f aca="false">COUNTIF(D42:H42,"Y")</f>
        <v>5</v>
      </c>
    </row>
    <row r="43" customFormat="false" ht="15" hidden="false" customHeight="true" outlineLevel="0" collapsed="false">
      <c r="A43" s="6" t="n">
        <v>42</v>
      </c>
      <c r="B43" s="6" t="s">
        <v>122</v>
      </c>
      <c r="C43" s="6" t="s">
        <v>43</v>
      </c>
      <c r="D43" s="6" t="s">
        <v>237</v>
      </c>
      <c r="E43" s="6" t="s">
        <v>238</v>
      </c>
      <c r="F43" s="6" t="s">
        <v>237</v>
      </c>
      <c r="G43" s="6" t="s">
        <v>238</v>
      </c>
      <c r="H43" s="6" t="s">
        <v>237</v>
      </c>
      <c r="I43" s="6" t="n">
        <f aca="false">COUNTIF(D43:H43,"Y")</f>
        <v>3</v>
      </c>
    </row>
    <row r="44" customFormat="false" ht="15" hidden="false" customHeight="true" outlineLevel="0" collapsed="false">
      <c r="A44" s="6" t="n">
        <v>43</v>
      </c>
      <c r="B44" s="6" t="s">
        <v>124</v>
      </c>
      <c r="C44" s="6" t="s">
        <v>54</v>
      </c>
      <c r="D44" s="6" t="s">
        <v>237</v>
      </c>
      <c r="E44" s="6" t="s">
        <v>237</v>
      </c>
      <c r="F44" s="6" t="s">
        <v>237</v>
      </c>
      <c r="G44" s="6" t="s">
        <v>237</v>
      </c>
      <c r="H44" s="6" t="s">
        <v>237</v>
      </c>
      <c r="I44" s="6" t="n">
        <f aca="false">COUNTIF(D44:H44,"Y")</f>
        <v>5</v>
      </c>
    </row>
    <row r="45" customFormat="false" ht="15" hidden="false" customHeight="true" outlineLevel="0" collapsed="false">
      <c r="A45" s="6" t="n">
        <v>44</v>
      </c>
      <c r="B45" s="6" t="s">
        <v>126</v>
      </c>
      <c r="C45" s="6" t="s">
        <v>35</v>
      </c>
      <c r="D45" s="6" t="s">
        <v>237</v>
      </c>
      <c r="E45" s="6" t="s">
        <v>237</v>
      </c>
      <c r="F45" s="6" t="s">
        <v>237</v>
      </c>
      <c r="G45" s="6" t="s">
        <v>237</v>
      </c>
      <c r="H45" s="6" t="s">
        <v>237</v>
      </c>
      <c r="I45" s="6" t="n">
        <f aca="false">COUNTIF(D45:H45,"Y")</f>
        <v>5</v>
      </c>
    </row>
    <row r="46" customFormat="false" ht="15" hidden="false" customHeight="true" outlineLevel="0" collapsed="false">
      <c r="A46" s="6" t="n">
        <v>45</v>
      </c>
      <c r="B46" s="6" t="s">
        <v>129</v>
      </c>
      <c r="C46" s="6" t="s">
        <v>43</v>
      </c>
      <c r="D46" s="6" t="s">
        <v>237</v>
      </c>
      <c r="E46" s="6" t="s">
        <v>238</v>
      </c>
      <c r="F46" s="6" t="s">
        <v>237</v>
      </c>
      <c r="G46" s="6" t="s">
        <v>238</v>
      </c>
      <c r="H46" s="6" t="s">
        <v>237</v>
      </c>
      <c r="I46" s="6" t="n">
        <f aca="false">COUNTIF(D46:H46,"Y")</f>
        <v>3</v>
      </c>
    </row>
    <row r="47" customFormat="false" ht="15" hidden="false" customHeight="true" outlineLevel="0" collapsed="false">
      <c r="A47" s="6" t="n">
        <v>46</v>
      </c>
      <c r="B47" s="6" t="s">
        <v>131</v>
      </c>
      <c r="C47" s="6" t="s">
        <v>106</v>
      </c>
      <c r="D47" s="6" t="s">
        <v>237</v>
      </c>
      <c r="E47" s="6" t="s">
        <v>237</v>
      </c>
      <c r="F47" s="6" t="s">
        <v>237</v>
      </c>
      <c r="G47" s="6" t="s">
        <v>237</v>
      </c>
      <c r="H47" s="6" t="s">
        <v>237</v>
      </c>
      <c r="I47" s="6" t="n">
        <f aca="false">COUNTIF(D47:H47,"Y")</f>
        <v>5</v>
      </c>
    </row>
    <row r="48" customFormat="false" ht="15" hidden="false" customHeight="true" outlineLevel="0" collapsed="false">
      <c r="A48" s="6" t="n">
        <v>47</v>
      </c>
      <c r="B48" s="6" t="s">
        <v>133</v>
      </c>
      <c r="C48" s="6" t="s">
        <v>43</v>
      </c>
      <c r="D48" s="6" t="s">
        <v>237</v>
      </c>
      <c r="E48" s="6" t="s">
        <v>238</v>
      </c>
      <c r="F48" s="6" t="s">
        <v>237</v>
      </c>
      <c r="G48" s="6" t="s">
        <v>238</v>
      </c>
      <c r="H48" s="6" t="s">
        <v>237</v>
      </c>
      <c r="I48" s="6" t="n">
        <f aca="false">COUNTIF(D48:H48,"Y")</f>
        <v>3</v>
      </c>
    </row>
    <row r="49" customFormat="false" ht="15" hidden="false" customHeight="true" outlineLevel="0" collapsed="false">
      <c r="A49" s="6" t="n">
        <v>48</v>
      </c>
      <c r="B49" s="6" t="s">
        <v>135</v>
      </c>
      <c r="C49" s="6" t="s">
        <v>27</v>
      </c>
      <c r="D49" s="6" t="s">
        <v>237</v>
      </c>
      <c r="E49" s="6" t="s">
        <v>237</v>
      </c>
      <c r="F49" s="6" t="s">
        <v>237</v>
      </c>
      <c r="G49" s="6" t="s">
        <v>238</v>
      </c>
      <c r="H49" s="6" t="s">
        <v>237</v>
      </c>
      <c r="I49" s="6" t="n">
        <f aca="false">COUNTIF(D49:H49,"Y")</f>
        <v>4</v>
      </c>
    </row>
    <row r="50" customFormat="false" ht="15" hidden="false" customHeight="true" outlineLevel="0" collapsed="false">
      <c r="A50" s="6" t="n">
        <v>49</v>
      </c>
      <c r="B50" s="6" t="s">
        <v>138</v>
      </c>
      <c r="C50" s="6" t="s">
        <v>43</v>
      </c>
      <c r="D50" s="6" t="s">
        <v>237</v>
      </c>
      <c r="E50" s="6" t="s">
        <v>238</v>
      </c>
      <c r="F50" s="6" t="s">
        <v>237</v>
      </c>
      <c r="G50" s="6" t="s">
        <v>238</v>
      </c>
      <c r="H50" s="6" t="s">
        <v>237</v>
      </c>
      <c r="I50" s="6" t="n">
        <f aca="false">COUNTIF(D50:H50,"Y")</f>
        <v>3</v>
      </c>
    </row>
    <row r="51" customFormat="false" ht="15" hidden="false" customHeight="true" outlineLevel="0" collapsed="false">
      <c r="A51" s="6" t="n">
        <v>50</v>
      </c>
      <c r="B51" s="6" t="s">
        <v>140</v>
      </c>
      <c r="C51" s="6" t="s">
        <v>27</v>
      </c>
      <c r="D51" s="6" t="s">
        <v>237</v>
      </c>
      <c r="E51" s="6" t="s">
        <v>237</v>
      </c>
      <c r="F51" s="6" t="s">
        <v>237</v>
      </c>
      <c r="G51" s="6" t="s">
        <v>238</v>
      </c>
      <c r="H51" s="6" t="s">
        <v>237</v>
      </c>
      <c r="I51" s="6" t="n">
        <f aca="false">COUNTIF(D51:H51,"Y")</f>
        <v>4</v>
      </c>
    </row>
    <row r="52" customFormat="false" ht="15" hidden="false" customHeight="true" outlineLevel="0" collapsed="false">
      <c r="A52" s="6" t="n">
        <v>51</v>
      </c>
      <c r="B52" s="6" t="s">
        <v>142</v>
      </c>
      <c r="C52" s="6" t="s">
        <v>43</v>
      </c>
      <c r="D52" s="6" t="s">
        <v>237</v>
      </c>
      <c r="E52" s="6" t="s">
        <v>238</v>
      </c>
      <c r="F52" s="6" t="s">
        <v>237</v>
      </c>
      <c r="G52" s="6" t="s">
        <v>238</v>
      </c>
      <c r="H52" s="6" t="s">
        <v>237</v>
      </c>
      <c r="I52" s="6" t="n">
        <f aca="false">COUNTIF(D52:H52,"Y")</f>
        <v>3</v>
      </c>
    </row>
    <row r="53" customFormat="false" ht="15" hidden="false" customHeight="true" outlineLevel="0" collapsed="false">
      <c r="A53" s="6" t="n">
        <v>52</v>
      </c>
      <c r="B53" s="6" t="s">
        <v>144</v>
      </c>
      <c r="C53" s="6" t="s">
        <v>35</v>
      </c>
      <c r="D53" s="6" t="s">
        <v>237</v>
      </c>
      <c r="E53" s="6" t="s">
        <v>237</v>
      </c>
      <c r="F53" s="6" t="s">
        <v>237</v>
      </c>
      <c r="G53" s="6" t="s">
        <v>237</v>
      </c>
      <c r="H53" s="6" t="s">
        <v>237</v>
      </c>
      <c r="I53" s="6" t="n">
        <f aca="false">COUNTIF(D53:H53,"Y")</f>
        <v>5</v>
      </c>
    </row>
    <row r="54" customFormat="false" ht="15" hidden="false" customHeight="true" outlineLevel="0" collapsed="false">
      <c r="A54" s="6" t="n">
        <v>53</v>
      </c>
      <c r="B54" s="6" t="s">
        <v>146</v>
      </c>
      <c r="C54" s="6" t="s">
        <v>43</v>
      </c>
      <c r="D54" s="6" t="s">
        <v>237</v>
      </c>
      <c r="E54" s="6" t="s">
        <v>238</v>
      </c>
      <c r="F54" s="6" t="s">
        <v>237</v>
      </c>
      <c r="G54" s="6" t="s">
        <v>238</v>
      </c>
      <c r="H54" s="6" t="s">
        <v>237</v>
      </c>
      <c r="I54" s="6" t="n">
        <f aca="false">COUNTIF(D54:H54,"Y")</f>
        <v>3</v>
      </c>
    </row>
    <row r="55" customFormat="false" ht="15" hidden="false" customHeight="true" outlineLevel="0" collapsed="false">
      <c r="A55" s="6" t="n">
        <v>54</v>
      </c>
      <c r="B55" s="6" t="s">
        <v>148</v>
      </c>
      <c r="C55" s="6" t="s">
        <v>106</v>
      </c>
      <c r="D55" s="6" t="s">
        <v>237</v>
      </c>
      <c r="E55" s="6" t="s">
        <v>237</v>
      </c>
      <c r="F55" s="6" t="s">
        <v>237</v>
      </c>
      <c r="G55" s="6" t="s">
        <v>237</v>
      </c>
      <c r="H55" s="6" t="s">
        <v>237</v>
      </c>
      <c r="I55" s="6" t="n">
        <f aca="false">COUNTIF(D55:H55,"Y")</f>
        <v>5</v>
      </c>
    </row>
    <row r="56" customFormat="false" ht="15" hidden="false" customHeight="true" outlineLevel="0" collapsed="false">
      <c r="A56" s="6" t="n">
        <v>55</v>
      </c>
      <c r="B56" s="6" t="s">
        <v>150</v>
      </c>
      <c r="C56" s="6" t="s">
        <v>54</v>
      </c>
      <c r="D56" s="6" t="s">
        <v>237</v>
      </c>
      <c r="E56" s="6" t="s">
        <v>237</v>
      </c>
      <c r="F56" s="6" t="s">
        <v>237</v>
      </c>
      <c r="G56" s="6" t="s">
        <v>237</v>
      </c>
      <c r="H56" s="6" t="s">
        <v>237</v>
      </c>
      <c r="I56" s="6" t="n">
        <f aca="false">COUNTIF(D56:H56,"Y")</f>
        <v>5</v>
      </c>
    </row>
    <row r="57" customFormat="false" ht="15" hidden="false" customHeight="true" outlineLevel="0" collapsed="false">
      <c r="A57" s="6" t="n">
        <v>56</v>
      </c>
      <c r="B57" s="6" t="s">
        <v>152</v>
      </c>
      <c r="C57" s="6" t="s">
        <v>43</v>
      </c>
      <c r="D57" s="6" t="s">
        <v>237</v>
      </c>
      <c r="E57" s="6" t="s">
        <v>238</v>
      </c>
      <c r="F57" s="6" t="s">
        <v>237</v>
      </c>
      <c r="G57" s="6" t="s">
        <v>238</v>
      </c>
      <c r="H57" s="6" t="s">
        <v>237</v>
      </c>
      <c r="I57" s="6" t="n">
        <f aca="false">COUNTIF(D57:H57,"Y")</f>
        <v>3</v>
      </c>
    </row>
    <row r="58" customFormat="false" ht="15" hidden="false" customHeight="true" outlineLevel="0" collapsed="false">
      <c r="A58" s="6" t="n">
        <v>57</v>
      </c>
      <c r="B58" s="6" t="s">
        <v>154</v>
      </c>
      <c r="C58" s="6" t="s">
        <v>54</v>
      </c>
      <c r="D58" s="6" t="s">
        <v>237</v>
      </c>
      <c r="E58" s="6" t="s">
        <v>237</v>
      </c>
      <c r="F58" s="6" t="s">
        <v>237</v>
      </c>
      <c r="G58" s="6" t="s">
        <v>237</v>
      </c>
      <c r="H58" s="6" t="s">
        <v>237</v>
      </c>
      <c r="I58" s="6" t="n">
        <f aca="false">COUNTIF(D58:H58,"Y")</f>
        <v>5</v>
      </c>
    </row>
    <row r="59" customFormat="false" ht="15" hidden="false" customHeight="true" outlineLevel="0" collapsed="false">
      <c r="A59" s="6" t="n">
        <v>58</v>
      </c>
      <c r="B59" s="6" t="s">
        <v>156</v>
      </c>
      <c r="C59" s="6" t="s">
        <v>106</v>
      </c>
      <c r="D59" s="6" t="s">
        <v>237</v>
      </c>
      <c r="E59" s="6" t="s">
        <v>237</v>
      </c>
      <c r="F59" s="6" t="s">
        <v>237</v>
      </c>
      <c r="G59" s="6" t="s">
        <v>237</v>
      </c>
      <c r="H59" s="6" t="s">
        <v>237</v>
      </c>
      <c r="I59" s="6" t="n">
        <f aca="false">COUNTIF(D59:H59,"Y")</f>
        <v>5</v>
      </c>
    </row>
    <row r="60" customFormat="false" ht="15" hidden="false" customHeight="true" outlineLevel="0" collapsed="false">
      <c r="A60" s="6" t="n">
        <v>59</v>
      </c>
      <c r="B60" s="6" t="s">
        <v>158</v>
      </c>
      <c r="C60" s="6" t="s">
        <v>27</v>
      </c>
      <c r="D60" s="6" t="s">
        <v>237</v>
      </c>
      <c r="E60" s="6" t="s">
        <v>237</v>
      </c>
      <c r="F60" s="6" t="s">
        <v>237</v>
      </c>
      <c r="G60" s="6" t="s">
        <v>238</v>
      </c>
      <c r="H60" s="6" t="s">
        <v>237</v>
      </c>
      <c r="I60" s="6" t="n">
        <f aca="false">COUNTIF(D60:H60,"Y")</f>
        <v>4</v>
      </c>
    </row>
    <row r="61" customFormat="false" ht="15" hidden="false" customHeight="true" outlineLevel="0" collapsed="false">
      <c r="A61" s="6" t="n">
        <v>60</v>
      </c>
      <c r="B61" s="6" t="s">
        <v>163</v>
      </c>
      <c r="C61" s="6" t="s">
        <v>27</v>
      </c>
      <c r="D61" s="6" t="s">
        <v>237</v>
      </c>
      <c r="E61" s="6" t="s">
        <v>237</v>
      </c>
      <c r="F61" s="6" t="s">
        <v>237</v>
      </c>
      <c r="G61" s="6" t="s">
        <v>238</v>
      </c>
      <c r="H61" s="6" t="s">
        <v>237</v>
      </c>
      <c r="I61" s="6" t="n">
        <f aca="false">COUNTIF(D61:H61,"Y")</f>
        <v>4</v>
      </c>
    </row>
    <row r="62" customFormat="false" ht="15" hidden="false" customHeight="true" outlineLevel="0" collapsed="false">
      <c r="A62" s="6" t="n">
        <v>61</v>
      </c>
      <c r="B62" s="6" t="s">
        <v>165</v>
      </c>
      <c r="C62" s="6" t="s">
        <v>27</v>
      </c>
      <c r="D62" s="6" t="s">
        <v>237</v>
      </c>
      <c r="E62" s="6" t="s">
        <v>237</v>
      </c>
      <c r="F62" s="6" t="s">
        <v>237</v>
      </c>
      <c r="G62" s="6" t="s">
        <v>238</v>
      </c>
      <c r="H62" s="6" t="s">
        <v>237</v>
      </c>
      <c r="I62" s="6" t="n">
        <f aca="false">COUNTIF(D62:H62,"Y")</f>
        <v>4</v>
      </c>
    </row>
    <row r="63" customFormat="false" ht="15" hidden="false" customHeight="true" outlineLevel="0" collapsed="false">
      <c r="A63" s="6" t="n">
        <v>62</v>
      </c>
      <c r="B63" s="6" t="s">
        <v>167</v>
      </c>
      <c r="C63" s="6" t="s">
        <v>27</v>
      </c>
      <c r="D63" s="6" t="s">
        <v>237</v>
      </c>
      <c r="E63" s="6" t="s">
        <v>237</v>
      </c>
      <c r="F63" s="6" t="s">
        <v>237</v>
      </c>
      <c r="G63" s="6" t="s">
        <v>238</v>
      </c>
      <c r="H63" s="6" t="s">
        <v>237</v>
      </c>
      <c r="I63" s="6" t="n">
        <f aca="false">COUNTIF(D63:H63,"Y")</f>
        <v>4</v>
      </c>
    </row>
    <row r="64" customFormat="false" ht="15" hidden="false" customHeight="true" outlineLevel="0" collapsed="false">
      <c r="A64" s="6" t="n">
        <v>63</v>
      </c>
      <c r="B64" s="6" t="s">
        <v>169</v>
      </c>
      <c r="C64" s="6" t="s">
        <v>27</v>
      </c>
      <c r="D64" s="6" t="s">
        <v>237</v>
      </c>
      <c r="E64" s="6" t="s">
        <v>237</v>
      </c>
      <c r="F64" s="6" t="s">
        <v>237</v>
      </c>
      <c r="G64" s="6" t="s">
        <v>238</v>
      </c>
      <c r="H64" s="6" t="s">
        <v>237</v>
      </c>
      <c r="I64" s="6" t="n">
        <f aca="false">COUNTIF(D64:H64,"Y")</f>
        <v>4</v>
      </c>
    </row>
    <row r="65" customFormat="false" ht="15" hidden="false" customHeight="true" outlineLevel="0" collapsed="false">
      <c r="A65" s="6" t="n">
        <v>64</v>
      </c>
      <c r="B65" s="6" t="s">
        <v>172</v>
      </c>
      <c r="C65" s="6" t="s">
        <v>27</v>
      </c>
      <c r="D65" s="6" t="s">
        <v>237</v>
      </c>
      <c r="E65" s="6" t="s">
        <v>237</v>
      </c>
      <c r="F65" s="6" t="s">
        <v>237</v>
      </c>
      <c r="G65" s="6" t="s">
        <v>238</v>
      </c>
      <c r="H65" s="6" t="s">
        <v>237</v>
      </c>
      <c r="I65" s="6" t="n">
        <f aca="false">COUNTIF(D65:H65,"Y")</f>
        <v>4</v>
      </c>
    </row>
    <row r="66" customFormat="false" ht="15" hidden="false" customHeight="true" outlineLevel="0" collapsed="false">
      <c r="A66" s="6" t="n">
        <v>65</v>
      </c>
      <c r="B66" s="6" t="s">
        <v>174</v>
      </c>
      <c r="C66" s="6" t="s">
        <v>35</v>
      </c>
      <c r="D66" s="6" t="s">
        <v>237</v>
      </c>
      <c r="E66" s="6" t="s">
        <v>237</v>
      </c>
      <c r="F66" s="6" t="s">
        <v>237</v>
      </c>
      <c r="G66" s="6" t="s">
        <v>237</v>
      </c>
      <c r="H66" s="6" t="s">
        <v>237</v>
      </c>
      <c r="I66" s="6" t="n">
        <f aca="false">COUNTIF(D66:H66,"Y")</f>
        <v>5</v>
      </c>
    </row>
    <row r="67" customFormat="false" ht="15" hidden="false" customHeight="true" outlineLevel="0" collapsed="false">
      <c r="A67" s="6" t="n">
        <v>66</v>
      </c>
      <c r="B67" s="6" t="s">
        <v>176</v>
      </c>
      <c r="C67" s="6" t="s">
        <v>27</v>
      </c>
      <c r="D67" s="6" t="s">
        <v>237</v>
      </c>
      <c r="E67" s="6" t="s">
        <v>237</v>
      </c>
      <c r="F67" s="6" t="s">
        <v>237</v>
      </c>
      <c r="G67" s="6" t="s">
        <v>238</v>
      </c>
      <c r="H67" s="6" t="s">
        <v>237</v>
      </c>
      <c r="I67" s="6" t="n">
        <f aca="false">COUNTIF(D67:H67,"Y")</f>
        <v>4</v>
      </c>
    </row>
    <row r="68" customFormat="false" ht="15" hidden="false" customHeight="true" outlineLevel="0" collapsed="false">
      <c r="A68" s="6" t="n">
        <v>67</v>
      </c>
      <c r="B68" s="6" t="s">
        <v>178</v>
      </c>
      <c r="C68" s="6" t="s">
        <v>27</v>
      </c>
      <c r="D68" s="6" t="s">
        <v>237</v>
      </c>
      <c r="E68" s="6" t="s">
        <v>237</v>
      </c>
      <c r="F68" s="6" t="s">
        <v>237</v>
      </c>
      <c r="G68" s="6" t="s">
        <v>238</v>
      </c>
      <c r="H68" s="6" t="s">
        <v>237</v>
      </c>
      <c r="I68" s="6" t="n">
        <f aca="false">COUNTIF(D68:H68,"Y")</f>
        <v>4</v>
      </c>
    </row>
    <row r="69" customFormat="false" ht="15" hidden="false" customHeight="true" outlineLevel="0" collapsed="false">
      <c r="A69" s="6" t="n">
        <v>68</v>
      </c>
      <c r="B69" s="6" t="s">
        <v>180</v>
      </c>
      <c r="C69" s="6" t="s">
        <v>35</v>
      </c>
      <c r="D69" s="6" t="s">
        <v>237</v>
      </c>
      <c r="E69" s="6" t="s">
        <v>237</v>
      </c>
      <c r="F69" s="6" t="s">
        <v>237</v>
      </c>
      <c r="G69" s="6" t="s">
        <v>237</v>
      </c>
      <c r="H69" s="6" t="s">
        <v>237</v>
      </c>
      <c r="I69" s="6" t="n">
        <f aca="false">COUNTIF(D69:H69,"Y")</f>
        <v>5</v>
      </c>
    </row>
    <row r="70" customFormat="false" ht="15" hidden="false" customHeight="true" outlineLevel="0" collapsed="false">
      <c r="A70" s="6" t="n">
        <v>69</v>
      </c>
      <c r="B70" s="6" t="s">
        <v>182</v>
      </c>
      <c r="C70" s="6" t="s">
        <v>27</v>
      </c>
      <c r="D70" s="6" t="s">
        <v>237</v>
      </c>
      <c r="E70" s="6" t="s">
        <v>237</v>
      </c>
      <c r="F70" s="6" t="s">
        <v>237</v>
      </c>
      <c r="G70" s="6" t="s">
        <v>238</v>
      </c>
      <c r="H70" s="6" t="s">
        <v>237</v>
      </c>
      <c r="I70" s="6" t="n">
        <f aca="false">COUNTIF(D70:H70,"Y")</f>
        <v>4</v>
      </c>
    </row>
    <row r="71" customFormat="false" ht="15" hidden="false" customHeight="true" outlineLevel="0" collapsed="false">
      <c r="A71" s="6" t="n">
        <v>70</v>
      </c>
      <c r="B71" s="6" t="s">
        <v>184</v>
      </c>
      <c r="C71" s="6" t="s">
        <v>27</v>
      </c>
      <c r="D71" s="6" t="s">
        <v>237</v>
      </c>
      <c r="E71" s="6" t="s">
        <v>237</v>
      </c>
      <c r="F71" s="6" t="s">
        <v>237</v>
      </c>
      <c r="G71" s="6" t="s">
        <v>238</v>
      </c>
      <c r="H71" s="6" t="s">
        <v>237</v>
      </c>
      <c r="I71" s="6" t="n">
        <f aca="false">COUNTIF(D71:H71,"Y")</f>
        <v>4</v>
      </c>
    </row>
    <row r="72" customFormat="false" ht="15" hidden="false" customHeight="true" outlineLevel="0" collapsed="false">
      <c r="A72" s="6" t="n">
        <v>71</v>
      </c>
      <c r="B72" s="6" t="s">
        <v>186</v>
      </c>
      <c r="C72" s="6" t="s">
        <v>27</v>
      </c>
      <c r="D72" s="6" t="s">
        <v>237</v>
      </c>
      <c r="E72" s="6" t="s">
        <v>237</v>
      </c>
      <c r="F72" s="6" t="s">
        <v>237</v>
      </c>
      <c r="G72" s="6" t="s">
        <v>238</v>
      </c>
      <c r="H72" s="6" t="s">
        <v>237</v>
      </c>
      <c r="I72" s="6" t="n">
        <f aca="false">COUNTIF(D72:H72,"Y")</f>
        <v>4</v>
      </c>
    </row>
    <row r="73" customFormat="false" ht="15" hidden="false" customHeight="true" outlineLevel="0" collapsed="false">
      <c r="A73" s="6" t="n">
        <v>72</v>
      </c>
      <c r="B73" s="6" t="s">
        <v>188</v>
      </c>
      <c r="C73" s="6" t="s">
        <v>27</v>
      </c>
      <c r="D73" s="6" t="s">
        <v>237</v>
      </c>
      <c r="E73" s="6" t="s">
        <v>237</v>
      </c>
      <c r="F73" s="6" t="s">
        <v>237</v>
      </c>
      <c r="G73" s="6" t="s">
        <v>238</v>
      </c>
      <c r="H73" s="6" t="s">
        <v>237</v>
      </c>
      <c r="I73" s="6" t="n">
        <f aca="false">COUNTIF(D73:H73,"Y")</f>
        <v>4</v>
      </c>
    </row>
    <row r="74" customFormat="false" ht="15" hidden="false" customHeight="true" outlineLevel="0" collapsed="false">
      <c r="A74" s="6" t="n">
        <v>73</v>
      </c>
      <c r="B74" s="6" t="s">
        <v>190</v>
      </c>
      <c r="C74" s="6" t="s">
        <v>27</v>
      </c>
      <c r="D74" s="6" t="s">
        <v>237</v>
      </c>
      <c r="E74" s="6" t="s">
        <v>237</v>
      </c>
      <c r="F74" s="6" t="s">
        <v>237</v>
      </c>
      <c r="G74" s="6" t="s">
        <v>238</v>
      </c>
      <c r="H74" s="6" t="s">
        <v>237</v>
      </c>
      <c r="I74" s="6" t="n">
        <f aca="false">COUNTIF(D74:H74,"Y")</f>
        <v>4</v>
      </c>
    </row>
    <row r="75" customFormat="false" ht="15" hidden="false" customHeight="true" outlineLevel="0" collapsed="false">
      <c r="A75" s="6" t="n">
        <v>74</v>
      </c>
      <c r="B75" s="6" t="s">
        <v>192</v>
      </c>
      <c r="C75" s="6" t="s">
        <v>27</v>
      </c>
      <c r="D75" s="6" t="s">
        <v>237</v>
      </c>
      <c r="E75" s="6" t="s">
        <v>237</v>
      </c>
      <c r="F75" s="6" t="s">
        <v>237</v>
      </c>
      <c r="G75" s="6" t="s">
        <v>238</v>
      </c>
      <c r="H75" s="6" t="s">
        <v>237</v>
      </c>
      <c r="I75" s="6" t="n">
        <f aca="false">COUNTIF(D75:H75,"Y")</f>
        <v>4</v>
      </c>
    </row>
    <row r="76" customFormat="false" ht="15" hidden="false" customHeight="true" outlineLevel="0" collapsed="false">
      <c r="A76" s="6" t="n">
        <v>75</v>
      </c>
      <c r="B76" s="6" t="s">
        <v>194</v>
      </c>
      <c r="C76" s="6" t="s">
        <v>27</v>
      </c>
      <c r="D76" s="6" t="s">
        <v>237</v>
      </c>
      <c r="E76" s="6" t="s">
        <v>237</v>
      </c>
      <c r="F76" s="6" t="s">
        <v>237</v>
      </c>
      <c r="G76" s="6" t="s">
        <v>238</v>
      </c>
      <c r="H76" s="6" t="s">
        <v>237</v>
      </c>
      <c r="I76" s="6" t="n">
        <f aca="false">COUNTIF(D76:H76,"Y")</f>
        <v>4</v>
      </c>
    </row>
    <row r="77" customFormat="false" ht="15" hidden="false" customHeight="true" outlineLevel="0" collapsed="false">
      <c r="A77" s="6" t="n">
        <v>76</v>
      </c>
      <c r="B77" s="6" t="s">
        <v>196</v>
      </c>
      <c r="C77" s="6" t="s">
        <v>54</v>
      </c>
      <c r="D77" s="6" t="s">
        <v>237</v>
      </c>
      <c r="E77" s="6" t="s">
        <v>237</v>
      </c>
      <c r="F77" s="6" t="s">
        <v>237</v>
      </c>
      <c r="G77" s="6" t="s">
        <v>237</v>
      </c>
      <c r="H77" s="6" t="s">
        <v>237</v>
      </c>
      <c r="I77" s="6" t="n">
        <f aca="false">COUNTIF(D77:H77,"Y")</f>
        <v>5</v>
      </c>
    </row>
    <row r="78" customFormat="false" ht="15" hidden="false" customHeight="true" outlineLevel="0" collapsed="false">
      <c r="A78" s="6" t="n">
        <v>77</v>
      </c>
      <c r="B78" s="6" t="s">
        <v>199</v>
      </c>
      <c r="C78" s="6" t="s">
        <v>27</v>
      </c>
      <c r="D78" s="6" t="s">
        <v>237</v>
      </c>
      <c r="E78" s="6" t="s">
        <v>237</v>
      </c>
      <c r="F78" s="6" t="s">
        <v>237</v>
      </c>
      <c r="G78" s="6" t="s">
        <v>238</v>
      </c>
      <c r="H78" s="6" t="s">
        <v>237</v>
      </c>
      <c r="I78" s="6" t="n">
        <f aca="false">COUNTIF(D78:H78,"Y")</f>
        <v>4</v>
      </c>
    </row>
    <row r="79" customFormat="false" ht="15" hidden="false" customHeight="true" outlineLevel="0" collapsed="false">
      <c r="A79" s="6" t="n">
        <v>78</v>
      </c>
      <c r="B79" s="6" t="s">
        <v>201</v>
      </c>
      <c r="C79" s="6" t="s">
        <v>27</v>
      </c>
      <c r="D79" s="6" t="s">
        <v>237</v>
      </c>
      <c r="E79" s="6" t="s">
        <v>237</v>
      </c>
      <c r="F79" s="6" t="s">
        <v>237</v>
      </c>
      <c r="G79" s="6" t="s">
        <v>238</v>
      </c>
      <c r="H79" s="6" t="s">
        <v>237</v>
      </c>
      <c r="I79" s="6" t="n">
        <f aca="false">COUNTIF(D79:H79,"Y")</f>
        <v>4</v>
      </c>
    </row>
    <row r="80" customFormat="false" ht="15" hidden="false" customHeight="true" outlineLevel="0" collapsed="false">
      <c r="A80" s="6" t="n">
        <v>79</v>
      </c>
      <c r="B80" s="6" t="s">
        <v>203</v>
      </c>
      <c r="C80" s="6" t="s">
        <v>27</v>
      </c>
      <c r="D80" s="6" t="s">
        <v>237</v>
      </c>
      <c r="E80" s="6" t="s">
        <v>237</v>
      </c>
      <c r="F80" s="6" t="s">
        <v>237</v>
      </c>
      <c r="G80" s="6" t="s">
        <v>238</v>
      </c>
      <c r="H80" s="6" t="s">
        <v>237</v>
      </c>
      <c r="I80" s="6" t="n">
        <f aca="false">COUNTIF(D80:H80,"Y")</f>
        <v>4</v>
      </c>
    </row>
    <row r="81" customFormat="false" ht="15" hidden="false" customHeight="true" outlineLevel="0" collapsed="false">
      <c r="A81" s="6" t="n">
        <v>80</v>
      </c>
      <c r="B81" s="6" t="s">
        <v>205</v>
      </c>
      <c r="C81" s="6" t="s">
        <v>27</v>
      </c>
      <c r="D81" s="6" t="s">
        <v>237</v>
      </c>
      <c r="E81" s="6" t="s">
        <v>237</v>
      </c>
      <c r="F81" s="6" t="s">
        <v>237</v>
      </c>
      <c r="G81" s="6" t="s">
        <v>238</v>
      </c>
      <c r="H81" s="6" t="s">
        <v>237</v>
      </c>
      <c r="I81" s="6" t="n">
        <f aca="false">COUNTIF(D81:H81,"Y")</f>
        <v>4</v>
      </c>
    </row>
    <row r="82" customFormat="false" ht="15" hidden="false" customHeight="true" outlineLevel="0" collapsed="false">
      <c r="A82" s="6" t="n">
        <v>81</v>
      </c>
      <c r="B82" s="6" t="s">
        <v>207</v>
      </c>
      <c r="C82" s="6" t="s">
        <v>35</v>
      </c>
      <c r="D82" s="6" t="s">
        <v>237</v>
      </c>
      <c r="E82" s="6" t="s">
        <v>237</v>
      </c>
      <c r="F82" s="6" t="s">
        <v>237</v>
      </c>
      <c r="G82" s="6" t="s">
        <v>237</v>
      </c>
      <c r="H82" s="6" t="s">
        <v>237</v>
      </c>
      <c r="I82" s="6" t="n">
        <f aca="false">COUNTIF(D82:H82,"Y")</f>
        <v>5</v>
      </c>
    </row>
    <row r="83" customFormat="false" ht="15" hidden="false" customHeight="true" outlineLevel="0" collapsed="false">
      <c r="A83" s="6" t="n">
        <v>82</v>
      </c>
      <c r="B83" s="6" t="s">
        <v>210</v>
      </c>
      <c r="C83" s="6" t="s">
        <v>35</v>
      </c>
      <c r="D83" s="6" t="s">
        <v>237</v>
      </c>
      <c r="E83" s="6" t="s">
        <v>237</v>
      </c>
      <c r="F83" s="6" t="s">
        <v>237</v>
      </c>
      <c r="G83" s="6" t="s">
        <v>237</v>
      </c>
      <c r="H83" s="6" t="s">
        <v>237</v>
      </c>
      <c r="I83" s="6" t="n">
        <f aca="false">COUNTIF(D83:H83,"Y")</f>
        <v>5</v>
      </c>
    </row>
    <row r="84" customFormat="false" ht="15" hidden="false" customHeight="true" outlineLevel="0" collapsed="false">
      <c r="A84" s="6" t="n">
        <v>83</v>
      </c>
      <c r="B84" s="6" t="s">
        <v>212</v>
      </c>
      <c r="C84" s="6" t="s">
        <v>43</v>
      </c>
      <c r="D84" s="6" t="s">
        <v>237</v>
      </c>
      <c r="E84" s="6" t="s">
        <v>238</v>
      </c>
      <c r="F84" s="6" t="s">
        <v>237</v>
      </c>
      <c r="G84" s="6" t="s">
        <v>238</v>
      </c>
      <c r="H84" s="6" t="s">
        <v>237</v>
      </c>
      <c r="I84" s="6" t="n">
        <f aca="false">COUNTIF(D84:H84,"Y")</f>
        <v>3</v>
      </c>
    </row>
    <row r="85" customFormat="false" ht="15" hidden="false" customHeight="true" outlineLevel="0" collapsed="false">
      <c r="A85" s="6" t="n">
        <v>84</v>
      </c>
      <c r="B85" s="6" t="s">
        <v>214</v>
      </c>
      <c r="C85" s="6" t="s">
        <v>35</v>
      </c>
      <c r="D85" s="6" t="s">
        <v>237</v>
      </c>
      <c r="E85" s="6" t="s">
        <v>237</v>
      </c>
      <c r="F85" s="6" t="s">
        <v>237</v>
      </c>
      <c r="G85" s="6" t="s">
        <v>237</v>
      </c>
      <c r="H85" s="6" t="s">
        <v>237</v>
      </c>
      <c r="I85" s="6" t="n">
        <f aca="false">COUNTIF(D85:H85,"Y")</f>
        <v>5</v>
      </c>
    </row>
    <row r="86" customFormat="false" ht="15" hidden="false" customHeight="true" outlineLevel="0" collapsed="false">
      <c r="A86" s="6" t="n">
        <v>85</v>
      </c>
      <c r="B86" s="6" t="s">
        <v>216</v>
      </c>
      <c r="C86" s="6" t="s">
        <v>35</v>
      </c>
      <c r="D86" s="6" t="s">
        <v>237</v>
      </c>
      <c r="E86" s="6" t="s">
        <v>237</v>
      </c>
      <c r="F86" s="6" t="s">
        <v>237</v>
      </c>
      <c r="G86" s="6" t="s">
        <v>237</v>
      </c>
      <c r="H86" s="6" t="s">
        <v>237</v>
      </c>
      <c r="I86" s="6" t="n">
        <f aca="false">COUNTIF(D86:H86,"Y")</f>
        <v>5</v>
      </c>
    </row>
    <row r="87" customFormat="false" ht="15" hidden="false" customHeight="true" outlineLevel="0" collapsed="false">
      <c r="A87" s="6" t="n">
        <v>86</v>
      </c>
      <c r="B87" s="6" t="s">
        <v>218</v>
      </c>
      <c r="C87" s="6" t="s">
        <v>35</v>
      </c>
      <c r="D87" s="6" t="s">
        <v>237</v>
      </c>
      <c r="E87" s="6" t="s">
        <v>237</v>
      </c>
      <c r="F87" s="6" t="s">
        <v>237</v>
      </c>
      <c r="G87" s="6" t="s">
        <v>237</v>
      </c>
      <c r="H87" s="6" t="s">
        <v>237</v>
      </c>
      <c r="I87" s="6" t="n">
        <f aca="false">COUNTIF(D87:H87,"Y")</f>
        <v>5</v>
      </c>
    </row>
    <row r="88" customFormat="false" ht="15" hidden="false" customHeight="true" outlineLevel="0" collapsed="false">
      <c r="A88" s="6" t="n">
        <v>87</v>
      </c>
      <c r="B88" s="6" t="s">
        <v>220</v>
      </c>
      <c r="C88" s="6" t="s">
        <v>43</v>
      </c>
      <c r="D88" s="6" t="s">
        <v>237</v>
      </c>
      <c r="E88" s="6" t="s">
        <v>238</v>
      </c>
      <c r="F88" s="6" t="s">
        <v>237</v>
      </c>
      <c r="G88" s="6" t="s">
        <v>238</v>
      </c>
      <c r="H88" s="6" t="s">
        <v>237</v>
      </c>
      <c r="I88" s="6" t="n">
        <f aca="false">COUNTIF(D88:H88,"Y")</f>
        <v>3</v>
      </c>
    </row>
    <row r="89" customFormat="false" ht="15" hidden="false" customHeight="true" outlineLevel="0" collapsed="false">
      <c r="A89" s="6" t="n">
        <v>88</v>
      </c>
      <c r="B89" s="6" t="s">
        <v>222</v>
      </c>
      <c r="C89" s="6" t="s">
        <v>54</v>
      </c>
      <c r="D89" s="6" t="s">
        <v>237</v>
      </c>
      <c r="E89" s="6" t="s">
        <v>237</v>
      </c>
      <c r="F89" s="6" t="s">
        <v>237</v>
      </c>
      <c r="G89" s="6" t="s">
        <v>237</v>
      </c>
      <c r="H89" s="6" t="s">
        <v>237</v>
      </c>
      <c r="I89" s="6" t="n">
        <f aca="false">COUNTIF(D89:H89,"Y")</f>
        <v>5</v>
      </c>
    </row>
    <row r="90" customFormat="false" ht="15" hidden="false" customHeight="true" outlineLevel="0" collapsed="false">
      <c r="A90" s="6" t="n">
        <v>89</v>
      </c>
      <c r="B90" s="6" t="s">
        <v>225</v>
      </c>
      <c r="C90" s="6" t="s">
        <v>35</v>
      </c>
      <c r="D90" s="6" t="s">
        <v>237</v>
      </c>
      <c r="E90" s="6" t="s">
        <v>237</v>
      </c>
      <c r="F90" s="6" t="s">
        <v>237</v>
      </c>
      <c r="G90" s="6" t="s">
        <v>237</v>
      </c>
      <c r="H90" s="6" t="s">
        <v>237</v>
      </c>
      <c r="I90" s="6" t="n">
        <f aca="false">COUNTIF(D90:H90,"Y")</f>
        <v>5</v>
      </c>
    </row>
    <row r="91" customFormat="false" ht="15" hidden="false" customHeight="true" outlineLevel="0" collapsed="false">
      <c r="A91" s="6" t="n">
        <v>90</v>
      </c>
      <c r="B91" s="6" t="s">
        <v>227</v>
      </c>
      <c r="C91" s="6" t="s">
        <v>106</v>
      </c>
      <c r="D91" s="6" t="s">
        <v>237</v>
      </c>
      <c r="E91" s="6" t="s">
        <v>237</v>
      </c>
      <c r="F91" s="6" t="s">
        <v>237</v>
      </c>
      <c r="G91" s="6" t="s">
        <v>237</v>
      </c>
      <c r="H91" s="6" t="s">
        <v>237</v>
      </c>
      <c r="I91" s="6" t="n">
        <f aca="false">COUNTIF(D91:H91,"Y")</f>
        <v>5</v>
      </c>
    </row>
    <row r="92" customFormat="false" ht="15" hidden="false" customHeight="true" outlineLevel="0" collapsed="false">
      <c r="A92" s="6" t="n">
        <v>91</v>
      </c>
      <c r="B92" s="6" t="s">
        <v>229</v>
      </c>
      <c r="C92" s="6" t="s">
        <v>27</v>
      </c>
      <c r="D92" s="6" t="s">
        <v>237</v>
      </c>
      <c r="E92" s="6" t="s">
        <v>237</v>
      </c>
      <c r="F92" s="6" t="s">
        <v>237</v>
      </c>
      <c r="G92" s="6" t="s">
        <v>238</v>
      </c>
      <c r="H92" s="6" t="s">
        <v>237</v>
      </c>
      <c r="I92" s="6" t="n">
        <f aca="false">COUNTIF(D92:H92,"Y")</f>
        <v>4</v>
      </c>
    </row>
  </sheetData>
  <autoFilter ref="A1:I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4" min="3" style="1" width="8"/>
  </cols>
  <sheetData>
    <row r="1" customFormat="false" ht="15" hidden="false" customHeight="true" outlineLevel="0" collapsed="false">
      <c r="A1" s="7" t="s">
        <v>239</v>
      </c>
      <c r="B1" s="7" t="s">
        <v>240</v>
      </c>
      <c r="C1" s="7" t="s">
        <v>241</v>
      </c>
      <c r="D1" s="7" t="s">
        <v>242</v>
      </c>
    </row>
    <row r="2" customFormat="false" ht="15" hidden="false" customHeight="true" outlineLevel="0" collapsed="false">
      <c r="A2" s="8" t="s">
        <v>21</v>
      </c>
      <c r="B2" s="8" t="s">
        <v>28</v>
      </c>
      <c r="C2" s="8" t="n">
        <f aca="false">COUNTIF(Included_studies!$F$2:$F$92,B2)</f>
        <v>35</v>
      </c>
      <c r="D2" s="8" t="n">
        <f aca="false">ROUND(C2/91*100,1)</f>
        <v>38.5</v>
      </c>
    </row>
    <row r="3" customFormat="false" ht="15" hidden="false" customHeight="true" outlineLevel="0" collapsed="false">
      <c r="A3" s="8" t="s">
        <v>21</v>
      </c>
      <c r="B3" s="8" t="s">
        <v>109</v>
      </c>
      <c r="C3" s="8" t="n">
        <f aca="false">COUNTIF(Included_studies!$F$2:$F$92,B3)</f>
        <v>23</v>
      </c>
      <c r="D3" s="8" t="n">
        <f aca="false">ROUND(C3/91*100,1)</f>
        <v>25.3</v>
      </c>
    </row>
    <row r="4" customFormat="false" ht="15" hidden="false" customHeight="true" outlineLevel="0" collapsed="false">
      <c r="A4" s="8" t="s">
        <v>21</v>
      </c>
      <c r="B4" s="8" t="s">
        <v>160</v>
      </c>
      <c r="C4" s="8" t="n">
        <f aca="false">COUNTIF(Included_studies!$F$2:$F$92,B4)</f>
        <v>22</v>
      </c>
      <c r="D4" s="8" t="n">
        <f aca="false">ROUND(C4/91*100,1)</f>
        <v>24.2</v>
      </c>
    </row>
    <row r="5" customFormat="false" ht="15" hidden="false" customHeight="true" outlineLevel="0" collapsed="false">
      <c r="A5" s="8" t="s">
        <v>21</v>
      </c>
      <c r="B5" s="8" t="s">
        <v>208</v>
      </c>
      <c r="C5" s="8" t="n">
        <f aca="false">COUNTIF(Included_studies!$F$2:$F$92,B5)</f>
        <v>11</v>
      </c>
      <c r="D5" s="8" t="n">
        <f aca="false">ROUND(C5/91*100,1)</f>
        <v>12.1</v>
      </c>
    </row>
    <row r="6" customFormat="false" ht="15" hidden="false" customHeight="true" outlineLevel="0" collapsed="false">
      <c r="A6" s="8" t="s">
        <v>19</v>
      </c>
      <c r="B6" s="8" t="s">
        <v>34</v>
      </c>
      <c r="C6" s="8" t="n">
        <f aca="false">COUNTIF(Included_studies!$D$2:$D$92,B6)</f>
        <v>37</v>
      </c>
      <c r="D6" s="8" t="n">
        <f aca="false">ROUND(C6/91*100,1)</f>
        <v>40.7</v>
      </c>
    </row>
    <row r="7" customFormat="false" ht="15" hidden="false" customHeight="true" outlineLevel="0" collapsed="false">
      <c r="A7" s="8" t="s">
        <v>19</v>
      </c>
      <c r="B7" s="8" t="s">
        <v>26</v>
      </c>
      <c r="C7" s="8" t="n">
        <f aca="false">COUNTIF(Included_studies!$D$2:$D$92,B7)</f>
        <v>30</v>
      </c>
      <c r="D7" s="8" t="n">
        <f aca="false">ROUND(C7/91*100,1)</f>
        <v>33</v>
      </c>
    </row>
    <row r="8" customFormat="false" ht="15" hidden="false" customHeight="true" outlineLevel="0" collapsed="false">
      <c r="A8" s="8" t="s">
        <v>19</v>
      </c>
      <c r="B8" s="8" t="s">
        <v>65</v>
      </c>
      <c r="C8" s="8" t="n">
        <f aca="false">COUNTIF(Included_studies!$D$2:$D$92,B8)</f>
        <v>10</v>
      </c>
      <c r="D8" s="8" t="n">
        <f aca="false">ROUND(C8/91*100,1)</f>
        <v>11</v>
      </c>
    </row>
    <row r="9" customFormat="false" ht="15" hidden="false" customHeight="true" outlineLevel="0" collapsed="false">
      <c r="A9" s="8" t="s">
        <v>19</v>
      </c>
      <c r="B9" s="8" t="s">
        <v>159</v>
      </c>
      <c r="C9" s="8" t="n">
        <f aca="false">COUNTIF(Included_studies!$D$2:$D$92,B9)</f>
        <v>10</v>
      </c>
      <c r="D9" s="8" t="n">
        <f aca="false">ROUND(C9/91*100,1)</f>
        <v>11</v>
      </c>
    </row>
    <row r="10" customFormat="false" ht="15" hidden="false" customHeight="true" outlineLevel="0" collapsed="false">
      <c r="A10" s="8" t="s">
        <v>19</v>
      </c>
      <c r="B10" s="8" t="s">
        <v>170</v>
      </c>
      <c r="C10" s="8" t="n">
        <f aca="false">COUNTIF(Included_studies!$D$2:$D$92,B10)</f>
        <v>4</v>
      </c>
      <c r="D10" s="8" t="n">
        <f aca="false">ROUND(C10/91*100,1)</f>
        <v>4.4</v>
      </c>
    </row>
    <row r="11" customFormat="false" ht="15" hidden="false" customHeight="true" outlineLevel="0" collapsed="false">
      <c r="A11" s="8" t="s">
        <v>20</v>
      </c>
      <c r="B11" s="8" t="s">
        <v>27</v>
      </c>
      <c r="C11" s="8" t="n">
        <f aca="false">COUNTIF(Included_studies!$E$2:$E$92,B11)</f>
        <v>45</v>
      </c>
      <c r="D11" s="8" t="n">
        <f aca="false">ROUND(C11/91*100,1)</f>
        <v>49.5</v>
      </c>
    </row>
    <row r="12" customFormat="false" ht="15" hidden="false" customHeight="true" outlineLevel="0" collapsed="false">
      <c r="A12" s="8" t="s">
        <v>20</v>
      </c>
      <c r="B12" s="8" t="s">
        <v>43</v>
      </c>
      <c r="C12" s="8" t="n">
        <f aca="false">COUNTIF(Included_studies!$E$2:$E$92,B12)</f>
        <v>16</v>
      </c>
      <c r="D12" s="8" t="n">
        <f aca="false">ROUND(C12/91*100,1)</f>
        <v>17.6</v>
      </c>
    </row>
    <row r="13" customFormat="false" ht="15" hidden="false" customHeight="true" outlineLevel="0" collapsed="false">
      <c r="A13" s="8" t="s">
        <v>20</v>
      </c>
      <c r="B13" s="8" t="s">
        <v>35</v>
      </c>
      <c r="C13" s="8" t="n">
        <f aca="false">COUNTIF(Included_studies!$E$2:$E$92,B13)</f>
        <v>14</v>
      </c>
      <c r="D13" s="8" t="n">
        <f aca="false">ROUND(C13/91*100,1)</f>
        <v>15.4</v>
      </c>
    </row>
    <row r="14" customFormat="false" ht="15" hidden="false" customHeight="true" outlineLevel="0" collapsed="false">
      <c r="A14" s="8" t="s">
        <v>20</v>
      </c>
      <c r="B14" s="8" t="s">
        <v>54</v>
      </c>
      <c r="C14" s="8" t="n">
        <f aca="false">COUNTIF(Included_studies!$E$2:$E$92,B14)</f>
        <v>11</v>
      </c>
      <c r="D14" s="8" t="n">
        <f aca="false">ROUND(C14/91*100,1)</f>
        <v>12.1</v>
      </c>
    </row>
    <row r="15" customFormat="false" ht="15" hidden="false" customHeight="true" outlineLevel="0" collapsed="false">
      <c r="A15" s="8" t="s">
        <v>20</v>
      </c>
      <c r="B15" s="8" t="s">
        <v>106</v>
      </c>
      <c r="C15" s="8" t="n">
        <f aca="false">COUNTIF(Included_studies!$E$2:$E$92,B15)</f>
        <v>5</v>
      </c>
      <c r="D15" s="8" t="n">
        <f aca="false">ROUND(C15/91*100,1)</f>
        <v>5.5</v>
      </c>
    </row>
    <row r="16" customFormat="false" ht="15" hidden="false" customHeight="true" outlineLevel="0" collapsed="false">
      <c r="A16" s="8" t="s">
        <v>18</v>
      </c>
      <c r="B16" s="8" t="s">
        <v>25</v>
      </c>
      <c r="C16" s="8" t="n">
        <f aca="false">COUNTIF(Included_studies!$C$2:$C$92,B16)</f>
        <v>72</v>
      </c>
      <c r="D16" s="8" t="n">
        <f aca="false">ROUND(C16/91*100,1)</f>
        <v>79.1</v>
      </c>
    </row>
    <row r="17" customFormat="false" ht="15" hidden="false" customHeight="true" outlineLevel="0" collapsed="false">
      <c r="A17" s="8" t="s">
        <v>18</v>
      </c>
      <c r="B17" s="8" t="s">
        <v>31</v>
      </c>
      <c r="C17" s="8" t="n">
        <f aca="false">COUNTIF(Included_studies!$C$2:$C$92,B17)</f>
        <v>19</v>
      </c>
      <c r="D17" s="8" t="n">
        <f aca="false">ROUND(C17/91*100,1)</f>
        <v>20.9</v>
      </c>
    </row>
    <row r="18" customFormat="false" ht="15" hidden="false" customHeight="true" outlineLevel="0" collapsed="false">
      <c r="A18" s="8" t="s">
        <v>243</v>
      </c>
      <c r="B18" s="8" t="s">
        <v>244</v>
      </c>
      <c r="C18" s="8" t="n">
        <f aca="false">COUNTIF(MMAT_consensus!$I$2:$I$92,5)</f>
        <v>29</v>
      </c>
      <c r="D18" s="8" t="n">
        <f aca="false">ROUND(C18/91*100,1)</f>
        <v>31.9</v>
      </c>
    </row>
    <row r="19" customFormat="false" ht="15" hidden="false" customHeight="true" outlineLevel="0" collapsed="false">
      <c r="A19" s="8" t="s">
        <v>243</v>
      </c>
      <c r="B19" s="8" t="s">
        <v>245</v>
      </c>
      <c r="C19" s="8" t="n">
        <f aca="false">COUNTIF(MMAT_consensus!$I$2:$I$92,4)</f>
        <v>46</v>
      </c>
      <c r="D19" s="8" t="n">
        <f aca="false">ROUND(C19/91*100,1)</f>
        <v>50.5</v>
      </c>
    </row>
    <row r="20" customFormat="false" ht="15" hidden="false" customHeight="true" outlineLevel="0" collapsed="false">
      <c r="A20" s="8" t="s">
        <v>243</v>
      </c>
      <c r="B20" s="8" t="s">
        <v>246</v>
      </c>
      <c r="C20" s="8" t="n">
        <f aca="false">COUNTIF(MMAT_consensus!$I$2:$I$92,3)</f>
        <v>16</v>
      </c>
      <c r="D20" s="8" t="n">
        <f aca="false">ROUND(C20/91*100,1)</f>
        <v>17.6</v>
      </c>
    </row>
    <row r="21" customFormat="false" ht="15" hidden="false" customHeight="true" outlineLevel="0" collapsed="false">
      <c r="A21" s="9" t="s">
        <v>247</v>
      </c>
      <c r="B21" s="9" t="s">
        <v>248</v>
      </c>
      <c r="C21" s="9" t="n">
        <f aca="false">COUNTA(Included_studies!A2:A92)</f>
        <v>91</v>
      </c>
      <c r="D2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5" t="s">
        <v>249</v>
      </c>
      <c r="B1" s="5" t="s">
        <v>250</v>
      </c>
    </row>
    <row r="2" customFormat="false" ht="15" hidden="false" customHeight="true" outlineLevel="0" collapsed="false">
      <c r="A2" s="6" t="s">
        <v>16</v>
      </c>
      <c r="B2" s="6" t="s">
        <v>251</v>
      </c>
    </row>
    <row r="3" customFormat="false" ht="15" hidden="false" customHeight="true" outlineLevel="0" collapsed="false">
      <c r="A3" s="6" t="s">
        <v>17</v>
      </c>
      <c r="B3" s="6" t="s">
        <v>252</v>
      </c>
    </row>
    <row r="4" customFormat="false" ht="15" hidden="false" customHeight="true" outlineLevel="0" collapsed="false">
      <c r="A4" s="6" t="s">
        <v>18</v>
      </c>
      <c r="B4" s="6" t="s">
        <v>253</v>
      </c>
    </row>
    <row r="5" customFormat="false" ht="23.25" hidden="false" customHeight="true" outlineLevel="0" collapsed="false">
      <c r="A5" s="6" t="s">
        <v>19</v>
      </c>
      <c r="B5" s="6" t="s">
        <v>254</v>
      </c>
    </row>
    <row r="6" customFormat="false" ht="23.25" hidden="false" customHeight="true" outlineLevel="0" collapsed="false">
      <c r="A6" s="6" t="s">
        <v>20</v>
      </c>
      <c r="B6" s="6" t="s">
        <v>255</v>
      </c>
    </row>
    <row r="7" customFormat="false" ht="23.25" hidden="false" customHeight="true" outlineLevel="0" collapsed="false">
      <c r="A7" s="6" t="s">
        <v>21</v>
      </c>
      <c r="B7" s="6" t="s">
        <v>256</v>
      </c>
    </row>
    <row r="8" customFormat="false" ht="15" hidden="false" customHeight="true" outlineLevel="0" collapsed="false">
      <c r="A8" s="6" t="s">
        <v>257</v>
      </c>
      <c r="B8" s="6" t="s">
        <v>258</v>
      </c>
    </row>
    <row r="9" customFormat="false" ht="15" hidden="false" customHeight="true" outlineLevel="0" collapsed="false">
      <c r="A9" s="6" t="s">
        <v>23</v>
      </c>
      <c r="B9" s="6" t="s">
        <v>259</v>
      </c>
    </row>
    <row r="10" customFormat="false" ht="23.25" hidden="false" customHeight="true" outlineLevel="0" collapsed="false">
      <c r="A10" s="6" t="s">
        <v>260</v>
      </c>
      <c r="B10" s="6" t="s">
        <v>261</v>
      </c>
    </row>
    <row r="11" customFormat="false" ht="15" hidden="false" customHeight="true" outlineLevel="0" collapsed="false">
      <c r="A11" s="6" t="s">
        <v>236</v>
      </c>
      <c r="B11" s="6" t="s">
        <v>262</v>
      </c>
    </row>
    <row r="12" customFormat="false" ht="15" hidden="false" customHeight="true" outlineLevel="0" collapsed="false">
      <c r="A12" s="6" t="s">
        <v>263</v>
      </c>
      <c r="B12" s="6" t="s">
        <v>264</v>
      </c>
    </row>
  </sheetData>
  <autoFilter ref="A1: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2026-10-19T08:01:13Z</dcterms:created>
  <dc:creator>Anonymous</dc:creator>
  <dc:description/>
  <dc:language>en-US</dc:language>
  <cp:lastModifiedBy>Anonymous</cp:lastModifiedBy>
  <dcterms:modified xsi:type="dcterms:W3CDTF">2026-10-19T08:27:03Z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